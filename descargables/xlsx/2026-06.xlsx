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Morosidad\Junio\"/>
    </mc:Choice>
  </mc:AlternateContent>
  <xr:revisionPtr revIDLastSave="0" documentId="8_{E4289022-21C3-4AAD-91AA-56ED91EF410D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Indice" sheetId="1" r:id="rId1"/>
    <sheet name="1.1" sheetId="2" r:id="rId2"/>
    <sheet name="1.2" sheetId="3" r:id="rId3"/>
    <sheet name="1.3" sheetId="4" r:id="rId4"/>
    <sheet name="1.4" sheetId="5" r:id="rId5"/>
    <sheet name="1.5" sheetId="6" r:id="rId6"/>
    <sheet name="1.6" sheetId="12" r:id="rId7"/>
    <sheet name="1.7" sheetId="13" r:id="rId8"/>
    <sheet name="1.8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</calcChain>
</file>

<file path=xl/sharedStrings.xml><?xml version="1.0" encoding="utf-8"?>
<sst xmlns="http://schemas.openxmlformats.org/spreadsheetml/2006/main" count="173" uniqueCount="94">
  <si>
    <t>Indice</t>
  </si>
  <si>
    <t>Jujuy</t>
  </si>
  <si>
    <t xml:space="preserve">Division por edad/sexo </t>
  </si>
  <si>
    <t xml:space="preserve">Deudores unicos por entidad y prestamos </t>
  </si>
  <si>
    <t>deudores unicos, Total</t>
  </si>
  <si>
    <t>Monto de la deuda. Total en miles de pesos</t>
  </si>
  <si>
    <t>Deudores unicos en mora</t>
  </si>
  <si>
    <t>Monto de la deuda en mora en miles de pesos</t>
  </si>
  <si>
    <t>Deudores unicos</t>
  </si>
  <si>
    <t>Monto total de la deuda, en miles de pesos</t>
  </si>
  <si>
    <t>1_1</t>
  </si>
  <si>
    <t>Sexo</t>
  </si>
  <si>
    <t>Deudores unicos Total</t>
  </si>
  <si>
    <t>Monto total deuda, en miles de pesos</t>
  </si>
  <si>
    <t>Deudores unicos mora</t>
  </si>
  <si>
    <t>Monto de deuda mora, en miles de pesos</t>
  </si>
  <si>
    <t>Deudores Totales</t>
  </si>
  <si>
    <t>Hasta 25</t>
  </si>
  <si>
    <t>Bancos</t>
  </si>
  <si>
    <t>F</t>
  </si>
  <si>
    <t>Deudores en Mora</t>
  </si>
  <si>
    <t xml:space="preserve">Compañia financiera </t>
  </si>
  <si>
    <t>Deudores unicos y monto del prestamo en miles de pesos. Totales y en Mora</t>
  </si>
  <si>
    <t>Tasa mora por deudores y monto</t>
  </si>
  <si>
    <t xml:space="preserve">PNFC- otro </t>
  </si>
  <si>
    <t>M</t>
  </si>
  <si>
    <t xml:space="preserve">PNFC- emisora no bancaria de tarjetas </t>
  </si>
  <si>
    <t>1_2</t>
  </si>
  <si>
    <t>Deudores unicos por tipo de entidad, y montos de prestamos en miles de pesos. Totales y en Mora</t>
  </si>
  <si>
    <t>25-34</t>
  </si>
  <si>
    <t>1_3</t>
  </si>
  <si>
    <t>1_4</t>
  </si>
  <si>
    <t>35-44</t>
  </si>
  <si>
    <t>1_5</t>
  </si>
  <si>
    <t>Deudores unicos y monto de la deuda en miles de pesos por tipo de entidad en cada situacion crediticia</t>
  </si>
  <si>
    <t>Mora: Personas en situaciona 3, 4 y 5</t>
  </si>
  <si>
    <t>45-54</t>
  </si>
  <si>
    <t>55-64</t>
  </si>
  <si>
    <t xml:space="preserve">  </t>
  </si>
  <si>
    <t>1_7</t>
  </si>
  <si>
    <t>65 o más</t>
  </si>
  <si>
    <t>1_8</t>
  </si>
  <si>
    <t>Promedio de monto de la deuda en miles de pesos, por rango etario y sexo.</t>
  </si>
  <si>
    <t>Promedio del monto de la deuda en miles de pesos, por rango etario</t>
  </si>
  <si>
    <t>Deudores por tipo de situacion</t>
  </si>
  <si>
    <t>Deuda total</t>
  </si>
  <si>
    <t>Situacion 1</t>
  </si>
  <si>
    <t>Situacion 2</t>
  </si>
  <si>
    <t>Situacion 3</t>
  </si>
  <si>
    <t>Situacion 4</t>
  </si>
  <si>
    <t>Situacion 5</t>
  </si>
  <si>
    <t>Situacion 11 (incluidas en total no en mora)</t>
  </si>
  <si>
    <t>Situacio1</t>
  </si>
  <si>
    <t>Monto de la deuda, en miles de pesos</t>
  </si>
  <si>
    <t>Banco</t>
  </si>
  <si>
    <t>Compañía financiera</t>
  </si>
  <si>
    <t>PNFC - otro</t>
  </si>
  <si>
    <t>PNFC - emisora no bancaria de tarjetas</t>
  </si>
  <si>
    <t>Situacio2</t>
  </si>
  <si>
    <t xml:space="preserve">Compañía financiera </t>
  </si>
  <si>
    <t>Situacio3</t>
  </si>
  <si>
    <t>Situacio4</t>
  </si>
  <si>
    <t>Situacio5</t>
  </si>
  <si>
    <t>Situacio11</t>
  </si>
  <si>
    <t>Genero</t>
  </si>
  <si>
    <t>Rango de edad</t>
  </si>
  <si>
    <t>Monto promedio de deuda total en miles de pesos</t>
  </si>
  <si>
    <t>Monto promedio de deuda en mora, en miles de pesos</t>
  </si>
  <si>
    <t>Departamento</t>
  </si>
  <si>
    <t>Dr. Manuel Belgrano</t>
  </si>
  <si>
    <t>El Carmen</t>
  </si>
  <si>
    <t>San Pedro</t>
  </si>
  <si>
    <t>Ledesma</t>
  </si>
  <si>
    <t>Palpalá</t>
  </si>
  <si>
    <t>Santa Bárbara</t>
  </si>
  <si>
    <t>Humahuaca</t>
  </si>
  <si>
    <t>Tilcara</t>
  </si>
  <si>
    <t>Cochinoca</t>
  </si>
  <si>
    <t>Yavi</t>
  </si>
  <si>
    <t>San Antonio</t>
  </si>
  <si>
    <t>Tumbaya</t>
  </si>
  <si>
    <t>Valle Grande</t>
  </si>
  <si>
    <t>Rinconada</t>
  </si>
  <si>
    <t>Santa Catalina</t>
  </si>
  <si>
    <t>Susques</t>
  </si>
  <si>
    <t>Jujuy (total)</t>
  </si>
  <si>
    <t>1_6</t>
  </si>
  <si>
    <t>Cantidad de deudores y monto de la deuda total y en mora por departamentos</t>
  </si>
  <si>
    <t>Deudores y monto de la dueda en miles de pesos por rango etario y sexo. Totales y en Mora.</t>
  </si>
  <si>
    <t>Deudores unicos y monto de la deuda en miles de pesos por tipo de situacion.</t>
  </si>
  <si>
    <t>Monto deuda total en miles de pesos</t>
  </si>
  <si>
    <t>total Jujuy incluye deudores no geolocalizados por departamento</t>
  </si>
  <si>
    <t>Datos correspondientes al mes de junio 2026</t>
  </si>
  <si>
    <t>Deudores únicos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</si>
</sst>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/>
    <xf numFmtId="3" fontId="3" fillId="0" borderId="1" xfId="0" applyNumberFormat="1" applyFont="1" applyBorder="1" applyAlignment="1"/>
    <xf numFmtId="0" fontId="4" fillId="0" borderId="0" xfId="0" applyFont="1" applyAlignment="1"/>
    <xf numFmtId="0" fontId="3" fillId="0" borderId="0" xfId="0" applyFont="1" applyAlignment="1"/>
    <xf numFmtId="10" fontId="3" fillId="0" borderId="1" xfId="0" applyNumberFormat="1" applyFont="1" applyBorder="1"/>
    <xf numFmtId="3" fontId="3" fillId="0" borderId="0" xfId="0" applyNumberFormat="1" applyFont="1" applyAlignment="1"/>
    <xf numFmtId="4" fontId="3" fillId="0" borderId="0" xfId="0" applyNumberFormat="1" applyFont="1" applyAlignment="1"/>
    <xf numFmtId="3" fontId="3" fillId="0" borderId="1" xfId="0" applyNumberFormat="1" applyFont="1" applyBorder="1"/>
    <xf numFmtId="0" fontId="2" fillId="2" borderId="1" xfId="0" applyFont="1" applyFill="1" applyBorder="1" applyAlignment="1"/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/>
    <xf numFmtId="3" fontId="5" fillId="0" borderId="0" xfId="0" applyNumberFormat="1" applyFont="1" applyFill="1" applyBorder="1" applyAlignment="1"/>
    <xf numFmtId="0" fontId="1" fillId="0" borderId="0" xfId="0" applyFont="1" applyFill="1" applyBorder="1" applyAlignment="1"/>
    <xf numFmtId="3" fontId="1" fillId="0" borderId="0" xfId="0" applyNumberFormat="1" applyFont="1" applyFill="1" applyBorder="1" applyAlignment="1">
      <alignment horizontal="right"/>
    </xf>
    <xf numFmtId="10" fontId="1" fillId="0" borderId="0" xfId="0" applyNumberFormat="1" applyFont="1" applyFill="1" applyBorder="1" applyAlignment="1">
      <alignment horizontal="right"/>
    </xf>
    <xf numFmtId="0" fontId="2" fillId="0" borderId="2" xfId="0" applyFont="1" applyBorder="1" applyAlignment="1"/>
    <xf numFmtId="0" fontId="3" fillId="0" borderId="2" xfId="0" applyFont="1" applyBorder="1" applyAlignment="1"/>
    <xf numFmtId="3" fontId="3" fillId="0" borderId="2" xfId="0" applyNumberFormat="1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3" fontId="3" fillId="0" borderId="0" xfId="0" applyNumberFormat="1" applyFont="1" applyBorder="1" applyAlignment="1"/>
    <xf numFmtId="0" fontId="2" fillId="0" borderId="3" xfId="0" applyFont="1" applyBorder="1" applyAlignment="1"/>
    <xf numFmtId="0" fontId="3" fillId="0" borderId="3" xfId="0" applyFont="1" applyBorder="1" applyAlignment="1"/>
    <xf numFmtId="3" fontId="3" fillId="0" borderId="3" xfId="0" applyNumberFormat="1" applyFont="1" applyBorder="1" applyAlignment="1"/>
    <xf numFmtId="0" fontId="2" fillId="2" borderId="4" xfId="0" applyFont="1" applyFill="1" applyBorder="1" applyAlignment="1"/>
    <xf numFmtId="3" fontId="3" fillId="0" borderId="4" xfId="0" applyNumberFormat="1" applyFont="1" applyBorder="1"/>
    <xf numFmtId="10" fontId="3" fillId="0" borderId="0" xfId="0" applyNumberFormat="1" applyFont="1" applyBorder="1"/>
    <xf numFmtId="0" fontId="3" fillId="0" borderId="0" xfId="0" applyFont="1" applyBorder="1"/>
    <xf numFmtId="0" fontId="0" fillId="0" borderId="0" xfId="0" applyFont="1" applyBorder="1" applyAlignment="1"/>
    <xf numFmtId="0" fontId="2" fillId="2" borderId="3" xfId="0" applyFont="1" applyFill="1" applyBorder="1" applyAlignment="1"/>
    <xf numFmtId="3" fontId="3" fillId="0" borderId="3" xfId="0" applyNumberFormat="1" applyFont="1" applyBorder="1"/>
    <xf numFmtId="0" fontId="2" fillId="0" borderId="0" xfId="0" applyFont="1" applyFill="1" applyBorder="1" applyAlignment="1"/>
    <xf numFmtId="0" fontId="4" fillId="0" borderId="0" xfId="2" applyFont="1" applyAlignment="1"/>
    <xf numFmtId="0" fontId="4" fillId="0" borderId="0" xfId="2" applyFont="1" applyAlignment="1"/>
    <xf numFmtId="0" fontId="4" fillId="0" borderId="0" xfId="2" applyFont="1" applyAlignment="1"/>
    <xf numFmtId="0" fontId="4" fillId="0" borderId="0" xfId="2" applyFont="1" applyAlignment="1"/>
    <xf numFmtId="0" fontId="4" fillId="0" borderId="0" xfId="2" applyFont="1" applyAlignment="1"/>
    <xf numFmtId="0" fontId="6" fillId="0" borderId="0" xfId="1" applyFill="1"/>
    <xf numFmtId="0" fontId="3" fillId="0" borderId="0" xfId="0" applyFont="1"/>
  </cellXfs>
  <cellStyles count="3">
    <cellStyle name="Hipervínculo" xfId="1" builtinId="8"/>
    <cellStyle name="Normal" xfId="0" builtinId="0"/>
    <cellStyle name="Normal 2" xfId="2" xr:uid="{0C0BBEE1-C297-4C2D-80E4-577268685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B9" sqref="B9"/>
    </sheetView>
  </sheetViews>
  <sheetFormatPr baseColWidth="10" defaultColWidth="12.5703125" defaultRowHeight="15.75" customHeight="1" x14ac:dyDescent="0.2"/>
  <cols>
    <col min="2" max="2" width="82.42578125" customWidth="1"/>
  </cols>
  <sheetData>
    <row r="1" spans="1:26" x14ac:dyDescent="0.2">
      <c r="A1" s="1" t="s">
        <v>0</v>
      </c>
      <c r="B1" s="1" t="s">
        <v>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" t="s">
        <v>10</v>
      </c>
      <c r="B2" s="5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5" t="s">
        <v>27</v>
      </c>
      <c r="B3" s="5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5" t="s">
        <v>30</v>
      </c>
      <c r="B4" s="36" t="s">
        <v>88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5" t="s">
        <v>31</v>
      </c>
      <c r="B5" s="37" t="s">
        <v>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5" t="s">
        <v>33</v>
      </c>
      <c r="B6" s="38" t="s">
        <v>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5" t="s">
        <v>86</v>
      </c>
      <c r="B7" s="39" t="s">
        <v>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5" t="s">
        <v>39</v>
      </c>
      <c r="B8" s="40" t="s">
        <v>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41" t="s">
        <v>41</v>
      </c>
      <c r="B9" s="41" t="s">
        <v>87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ef="A2" location="'1.1'!A1" display="1_1" xr:uid="{00000000-0004-0000-0000-000000000000}"/>
    <hyperlink ref="B2" location="'1.1'!A1" display="Deudores unicos y monto del prestamo en miles de pesos. Totales y en Mora" xr:uid="{00000000-0004-0000-0000-000001000000}"/>
    <hyperlink ref="A3" location="'1.2'!A1" display="1_2" xr:uid="{00000000-0004-0000-0000-000002000000}"/>
    <hyperlink ref="B3" location="'1.2'!A1" display="Deudores unicos por tipo de entidad, y montos de prestamos en miles de pesos. Totales y en Mora" xr:uid="{00000000-0004-0000-0000-000003000000}"/>
    <hyperlink ref="A4" location="'1.3'!A1" display="1_3" xr:uid="{00000000-0004-0000-0000-000004000000}"/>
    <hyperlink ref="A5" location="'1.4'!A1" display="1_4" xr:uid="{00000000-0004-0000-0000-000006000000}"/>
    <hyperlink ref="A6" location="'1.5'!A1" display="1_5" xr:uid="{00000000-0004-0000-0000-000008000000}"/>
    <hyperlink ref="A7" location="'1.7'!A1" display="1_7" xr:uid="{00000000-0004-0000-0000-000012000000}"/>
    <hyperlink ref="A8" location="'1.8'!A1" display="1_8" xr:uid="{00000000-0004-0000-0000-000014000000}"/>
    <hyperlink ref="B4" location="'1.3'!A1" display="Deudores y monto de la dueda en miles de pesos por rango etario y sexo. Totales y en Mora." xr:uid="{00000000-0004-0000-0000-000005000000}"/>
    <hyperlink ref="B5" location="'1.4'!A1" display="Deudores unicos y monto de la deuda en miles de pesos por tipo de situacion." xr:uid="{00000000-0004-0000-0000-000007000000}"/>
    <hyperlink ref="B6" location="'1.5'!A1" display="Deudores unicos y monto de la deuda en miles de pesos por tipo de entidad en cada situacion crediticia" xr:uid="{00000000-0004-0000-0000-000009000000}"/>
    <hyperlink ref="B7" location="'1.6'!A1" display="Promedio de monto de la deuda en miles de pesos, por rango etario y sexo." xr:uid="{00000000-0004-0000-0000-00000B000000}"/>
    <hyperlink ref="B8" location="'1.7'!A1" display="Promedio del monto de la deuda en miles de pesos, por rango etario" xr:uid="{00000000-0004-0000-0000-00000D000000}"/>
    <hyperlink ref="A9" location="'1.8'!A1" display="1_8" xr:uid="{415B18B0-9EE6-44AC-B2C5-BAB3AF5D9A27}"/>
    <hyperlink ref="B9" location="'1.8'!A1" display="Cantidad de deudores y monto de la deuda total y en mora por departamentos" xr:uid="{CE324ABE-5DFC-4415-AB74-B9667F503A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1"/>
  <sheetViews>
    <sheetView workbookViewId="0">
      <selection activeCell="C3" sqref="C3"/>
    </sheetView>
  </sheetViews>
  <sheetFormatPr baseColWidth="10" defaultColWidth="12.5703125" defaultRowHeight="15.75" customHeight="1" x14ac:dyDescent="0.2"/>
  <cols>
    <col min="1" max="1" width="15.42578125" customWidth="1"/>
    <col min="2" max="2" width="14.42578125" customWidth="1"/>
    <col min="3" max="3" width="34.85546875" customWidth="1"/>
  </cols>
  <sheetData>
    <row r="1" spans="1:8" x14ac:dyDescent="0.2">
      <c r="A1" s="2" t="s">
        <v>1</v>
      </c>
      <c r="B1" s="2" t="s">
        <v>8</v>
      </c>
      <c r="C1" s="2" t="s">
        <v>9</v>
      </c>
    </row>
    <row r="2" spans="1:8" x14ac:dyDescent="0.2">
      <c r="A2" s="2" t="s">
        <v>16</v>
      </c>
      <c r="B2" s="4">
        <v>285794</v>
      </c>
      <c r="C2" s="4">
        <v>1067769051</v>
      </c>
    </row>
    <row r="3" spans="1:8" x14ac:dyDescent="0.2">
      <c r="A3" s="2" t="s">
        <v>20</v>
      </c>
      <c r="B3" s="4">
        <v>67874</v>
      </c>
      <c r="C3" s="4">
        <v>161962468</v>
      </c>
    </row>
    <row r="4" spans="1:8" x14ac:dyDescent="0.2">
      <c r="A4" s="2" t="s">
        <v>23</v>
      </c>
      <c r="B4" s="7">
        <f t="shared" ref="B4:C4" si="0">B3/B2</f>
        <v>0.23749273952567235</v>
      </c>
      <c r="C4" s="7">
        <f t="shared" si="0"/>
        <v>0.15168305154407402</v>
      </c>
    </row>
    <row r="5" spans="1:8" x14ac:dyDescent="0.2">
      <c r="F5" s="8"/>
      <c r="G5" s="9"/>
    </row>
    <row r="6" spans="1:8" x14ac:dyDescent="0.2">
      <c r="A6" s="6" t="s">
        <v>35</v>
      </c>
      <c r="H6" s="8"/>
    </row>
    <row r="8" spans="1:8" x14ac:dyDescent="0.2">
      <c r="H8" s="8"/>
    </row>
    <row r="11" spans="1:8" x14ac:dyDescent="0.2">
      <c r="D11" s="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"/>
  <sheetViews>
    <sheetView workbookViewId="0">
      <selection activeCell="C16" sqref="C16"/>
    </sheetView>
  </sheetViews>
  <sheetFormatPr baseColWidth="10" defaultColWidth="12.5703125" defaultRowHeight="15.75" customHeight="1" x14ac:dyDescent="0.2"/>
  <cols>
    <col min="1" max="1" width="34.7109375" customWidth="1"/>
    <col min="2" max="2" width="19.140625" customWidth="1"/>
    <col min="3" max="3" width="35.28515625" customWidth="1"/>
    <col min="4" max="4" width="21.42578125" customWidth="1"/>
    <col min="5" max="5" width="37.42578125" customWidth="1"/>
  </cols>
  <sheetData>
    <row r="1" spans="1: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2">
      <c r="A2" s="2" t="s">
        <v>18</v>
      </c>
      <c r="B2" s="4">
        <v>187654</v>
      </c>
      <c r="C2" s="4">
        <v>750823929</v>
      </c>
      <c r="D2" s="4">
        <v>19307</v>
      </c>
      <c r="E2" s="4">
        <v>82400019</v>
      </c>
    </row>
    <row r="3" spans="1:5" x14ac:dyDescent="0.2">
      <c r="A3" s="2" t="s">
        <v>21</v>
      </c>
      <c r="B3" s="4">
        <v>45565</v>
      </c>
      <c r="C3" s="4">
        <v>70407534</v>
      </c>
      <c r="D3" s="4">
        <v>6009</v>
      </c>
      <c r="E3" s="4">
        <v>6738509</v>
      </c>
    </row>
    <row r="4" spans="1:5" x14ac:dyDescent="0.2">
      <c r="A4" s="2" t="s">
        <v>24</v>
      </c>
      <c r="B4" s="4">
        <v>52037</v>
      </c>
      <c r="C4" s="4">
        <v>83230819</v>
      </c>
      <c r="D4" s="4">
        <v>25535</v>
      </c>
      <c r="E4" s="4">
        <v>32499932</v>
      </c>
    </row>
    <row r="5" spans="1:5" x14ac:dyDescent="0.2">
      <c r="A5" s="2" t="s">
        <v>26</v>
      </c>
      <c r="B5" s="4">
        <v>156656</v>
      </c>
      <c r="C5" s="4">
        <v>163306769</v>
      </c>
      <c r="D5" s="4">
        <v>38994</v>
      </c>
      <c r="E5" s="4">
        <v>40324008</v>
      </c>
    </row>
    <row r="7" spans="1:5" x14ac:dyDescent="0.2">
      <c r="A7" s="6"/>
    </row>
    <row r="8" spans="1:5" x14ac:dyDescent="0.2">
      <c r="A8" s="6"/>
    </row>
    <row r="9" spans="1:5" x14ac:dyDescent="0.2">
      <c r="A9" s="6"/>
    </row>
    <row r="10" spans="1:5" x14ac:dyDescent="0.2">
      <c r="A10" s="6"/>
    </row>
    <row r="11" spans="1:5" x14ac:dyDescent="0.2">
      <c r="A1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7"/>
  <sheetViews>
    <sheetView topLeftCell="B1" workbookViewId="0">
      <selection activeCell="F1" sqref="F1"/>
    </sheetView>
  </sheetViews>
  <sheetFormatPr baseColWidth="10" defaultColWidth="12.5703125" defaultRowHeight="15.75" customHeight="1" x14ac:dyDescent="0.2"/>
  <cols>
    <col min="1" max="1" width="19.7109375" customWidth="1"/>
    <col min="3" max="3" width="18.85546875" customWidth="1"/>
    <col min="4" max="4" width="30.5703125" customWidth="1"/>
    <col min="5" max="5" width="19" customWidth="1"/>
    <col min="6" max="6" width="33.5703125" customWidth="1"/>
  </cols>
  <sheetData>
    <row r="1" spans="1:6" x14ac:dyDescent="0.2">
      <c r="A1" s="2" t="s">
        <v>2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">
      <c r="A2" s="2" t="s">
        <v>17</v>
      </c>
      <c r="B2" s="3" t="s">
        <v>19</v>
      </c>
      <c r="C2" s="4">
        <v>8780</v>
      </c>
      <c r="D2" s="4">
        <v>6494072</v>
      </c>
      <c r="E2" s="4">
        <v>3066</v>
      </c>
      <c r="F2" s="4">
        <v>2122001</v>
      </c>
    </row>
    <row r="3" spans="1:6" x14ac:dyDescent="0.2">
      <c r="A3" s="2" t="s">
        <v>17</v>
      </c>
      <c r="B3" s="3" t="s">
        <v>25</v>
      </c>
      <c r="C3" s="4">
        <v>9222</v>
      </c>
      <c r="D3" s="4">
        <v>10685557</v>
      </c>
      <c r="E3" s="4">
        <v>3205</v>
      </c>
      <c r="F3" s="4">
        <v>3258500</v>
      </c>
    </row>
    <row r="4" spans="1:6" x14ac:dyDescent="0.2">
      <c r="A4" s="2" t="s">
        <v>29</v>
      </c>
      <c r="B4" s="3" t="s">
        <v>19</v>
      </c>
      <c r="C4" s="4">
        <v>30980</v>
      </c>
      <c r="D4" s="4">
        <v>63469783</v>
      </c>
      <c r="E4" s="4">
        <v>9032</v>
      </c>
      <c r="F4" s="4">
        <v>14294261</v>
      </c>
    </row>
    <row r="5" spans="1:6" x14ac:dyDescent="0.2">
      <c r="A5" s="2" t="s">
        <v>29</v>
      </c>
      <c r="B5" s="3" t="s">
        <v>25</v>
      </c>
      <c r="C5" s="4">
        <v>30586</v>
      </c>
      <c r="D5" s="4">
        <v>89353869</v>
      </c>
      <c r="E5" s="4">
        <v>10009</v>
      </c>
      <c r="F5" s="4">
        <v>21597261</v>
      </c>
    </row>
    <row r="6" spans="1:6" x14ac:dyDescent="0.2">
      <c r="A6" s="2" t="s">
        <v>32</v>
      </c>
      <c r="B6" s="3" t="s">
        <v>19</v>
      </c>
      <c r="C6" s="4">
        <v>32320</v>
      </c>
      <c r="D6" s="4">
        <v>117352148</v>
      </c>
      <c r="E6" s="4">
        <v>8100</v>
      </c>
      <c r="F6" s="4">
        <v>17959880</v>
      </c>
    </row>
    <row r="7" spans="1:6" x14ac:dyDescent="0.2">
      <c r="A7" s="2" t="s">
        <v>32</v>
      </c>
      <c r="B7" s="3" t="s">
        <v>25</v>
      </c>
      <c r="C7" s="4">
        <v>33188</v>
      </c>
      <c r="D7" s="4">
        <v>168875515</v>
      </c>
      <c r="E7" s="4">
        <v>9386</v>
      </c>
      <c r="F7" s="4">
        <v>31761589</v>
      </c>
    </row>
    <row r="8" spans="1:6" x14ac:dyDescent="0.2">
      <c r="A8" s="2" t="s">
        <v>36</v>
      </c>
      <c r="B8" s="3" t="s">
        <v>19</v>
      </c>
      <c r="C8" s="4">
        <v>29304</v>
      </c>
      <c r="D8" s="4">
        <v>124208457</v>
      </c>
      <c r="E8" s="4">
        <v>6058</v>
      </c>
      <c r="F8" s="4">
        <v>14809445</v>
      </c>
    </row>
    <row r="9" spans="1:6" x14ac:dyDescent="0.2">
      <c r="A9" s="2" t="s">
        <v>36</v>
      </c>
      <c r="B9" s="3" t="s">
        <v>25</v>
      </c>
      <c r="C9" s="4">
        <v>28740</v>
      </c>
      <c r="D9" s="4">
        <v>159170108</v>
      </c>
      <c r="E9" s="4">
        <v>6605</v>
      </c>
      <c r="F9" s="4">
        <v>21103613</v>
      </c>
    </row>
    <row r="10" spans="1:6" x14ac:dyDescent="0.2">
      <c r="A10" s="2" t="s">
        <v>37</v>
      </c>
      <c r="B10" s="3" t="s">
        <v>19</v>
      </c>
      <c r="C10" s="4">
        <v>21010</v>
      </c>
      <c r="D10" s="4">
        <v>85070167</v>
      </c>
      <c r="E10" s="4">
        <v>3543</v>
      </c>
      <c r="F10" s="4">
        <v>9935608</v>
      </c>
    </row>
    <row r="11" spans="1:6" x14ac:dyDescent="0.2">
      <c r="A11" s="2" t="s">
        <v>37</v>
      </c>
      <c r="B11" s="3" t="s">
        <v>25</v>
      </c>
      <c r="C11" s="4">
        <v>17537</v>
      </c>
      <c r="D11" s="4">
        <v>103811194</v>
      </c>
      <c r="E11" s="4">
        <v>3024</v>
      </c>
      <c r="F11" s="4">
        <v>10384317</v>
      </c>
    </row>
    <row r="12" spans="1:6" x14ac:dyDescent="0.2">
      <c r="A12" s="19" t="s">
        <v>40</v>
      </c>
      <c r="B12" s="20" t="s">
        <v>19</v>
      </c>
      <c r="C12" s="21">
        <v>24425</v>
      </c>
      <c r="D12" s="21">
        <v>68676626</v>
      </c>
      <c r="E12" s="21">
        <v>3290</v>
      </c>
      <c r="F12" s="21">
        <v>7654262</v>
      </c>
    </row>
    <row r="13" spans="1:6" x14ac:dyDescent="0.2">
      <c r="A13" s="25" t="s">
        <v>40</v>
      </c>
      <c r="B13" s="26" t="s">
        <v>25</v>
      </c>
      <c r="C13" s="27">
        <v>19180</v>
      </c>
      <c r="D13" s="27">
        <v>67071336</v>
      </c>
      <c r="E13" s="27">
        <v>2500</v>
      </c>
      <c r="F13" s="27">
        <v>6294518</v>
      </c>
    </row>
    <row r="14" spans="1:6" x14ac:dyDescent="0.2">
      <c r="A14" s="22"/>
      <c r="B14" s="23"/>
      <c r="C14" s="24"/>
      <c r="D14" s="24"/>
      <c r="E14" s="24"/>
      <c r="F14" s="24"/>
    </row>
    <row r="15" spans="1:6" x14ac:dyDescent="0.2">
      <c r="A15" s="22"/>
      <c r="B15" s="23"/>
      <c r="C15" s="24"/>
      <c r="D15" s="24"/>
      <c r="E15" s="24"/>
      <c r="F15" s="24"/>
    </row>
    <row r="17" spans="3:3" x14ac:dyDescent="0.2">
      <c r="C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>
      <selection activeCell="C1" sqref="C1"/>
    </sheetView>
  </sheetViews>
  <sheetFormatPr baseColWidth="10" defaultColWidth="12.5703125" defaultRowHeight="15.75" customHeight="1" x14ac:dyDescent="0.2"/>
  <cols>
    <col min="1" max="1" width="35.42578125" customWidth="1"/>
    <col min="2" max="2" width="14.42578125" customWidth="1"/>
    <col min="3" max="3" width="11.28515625" customWidth="1"/>
  </cols>
  <sheetData>
    <row r="1" spans="1:3" x14ac:dyDescent="0.2">
      <c r="A1" s="2" t="s">
        <v>44</v>
      </c>
      <c r="B1" s="2" t="s">
        <v>8</v>
      </c>
      <c r="C1" s="2" t="s">
        <v>45</v>
      </c>
    </row>
    <row r="2" spans="1:3" x14ac:dyDescent="0.2">
      <c r="A2" s="2" t="s">
        <v>46</v>
      </c>
      <c r="B2" s="4">
        <v>239331</v>
      </c>
      <c r="C2" s="4">
        <v>857116319</v>
      </c>
    </row>
    <row r="3" spans="1:3" x14ac:dyDescent="0.2">
      <c r="A3" s="2" t="s">
        <v>47</v>
      </c>
      <c r="B3" s="4">
        <v>16723</v>
      </c>
      <c r="C3" s="4">
        <v>48481569</v>
      </c>
    </row>
    <row r="4" spans="1:3" x14ac:dyDescent="0.2">
      <c r="A4" s="2" t="s">
        <v>48</v>
      </c>
      <c r="B4" s="4">
        <v>18363</v>
      </c>
      <c r="C4" s="4">
        <v>47720918</v>
      </c>
    </row>
    <row r="5" spans="1:3" x14ac:dyDescent="0.2">
      <c r="A5" s="2" t="s">
        <v>49</v>
      </c>
      <c r="B5" s="4">
        <v>28040</v>
      </c>
      <c r="C5" s="4">
        <v>67050561</v>
      </c>
    </row>
    <row r="6" spans="1:3" x14ac:dyDescent="0.2">
      <c r="A6" s="2" t="s">
        <v>50</v>
      </c>
      <c r="B6" s="4">
        <v>36443</v>
      </c>
      <c r="C6" s="4">
        <v>47190989</v>
      </c>
    </row>
    <row r="7" spans="1:3" x14ac:dyDescent="0.2">
      <c r="A7" s="2" t="s">
        <v>51</v>
      </c>
      <c r="B7" s="4">
        <v>42</v>
      </c>
      <c r="C7" s="4">
        <v>208695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8"/>
  <sheetViews>
    <sheetView workbookViewId="0">
      <selection activeCell="B2" sqref="B2"/>
    </sheetView>
  </sheetViews>
  <sheetFormatPr baseColWidth="10" defaultColWidth="12.5703125" defaultRowHeight="15.75" customHeight="1" x14ac:dyDescent="0.2"/>
  <cols>
    <col min="1" max="1" width="30.42578125" customWidth="1"/>
    <col min="2" max="2" width="14.42578125" customWidth="1"/>
    <col min="3" max="3" width="29.140625" customWidth="1"/>
  </cols>
  <sheetData>
    <row r="1" spans="1:3" x14ac:dyDescent="0.2">
      <c r="A1" s="6" t="s">
        <v>52</v>
      </c>
      <c r="B1" s="6" t="s">
        <v>8</v>
      </c>
      <c r="C1" s="6" t="s">
        <v>53</v>
      </c>
    </row>
    <row r="3" spans="1:3" x14ac:dyDescent="0.2">
      <c r="A3" s="2" t="s">
        <v>54</v>
      </c>
      <c r="B3" s="10">
        <v>168049</v>
      </c>
      <c r="C3" s="10">
        <v>634967135</v>
      </c>
    </row>
    <row r="4" spans="1:3" x14ac:dyDescent="0.2">
      <c r="A4" s="2" t="s">
        <v>55</v>
      </c>
      <c r="B4" s="10">
        <v>37166</v>
      </c>
      <c r="C4" s="10">
        <v>58516676</v>
      </c>
    </row>
    <row r="5" spans="1:3" x14ac:dyDescent="0.2">
      <c r="A5" s="2" t="s">
        <v>56</v>
      </c>
      <c r="B5" s="10">
        <v>27878</v>
      </c>
      <c r="C5" s="10">
        <v>47566429</v>
      </c>
    </row>
    <row r="6" spans="1:3" x14ac:dyDescent="0.2">
      <c r="A6" s="2" t="s">
        <v>57</v>
      </c>
      <c r="B6" s="10">
        <v>116843</v>
      </c>
      <c r="C6" s="10">
        <v>116066079</v>
      </c>
    </row>
    <row r="8" spans="1:3" x14ac:dyDescent="0.2">
      <c r="A8" s="6" t="s">
        <v>58</v>
      </c>
      <c r="B8" s="6" t="s">
        <v>8</v>
      </c>
      <c r="C8" s="6" t="s">
        <v>53</v>
      </c>
    </row>
    <row r="10" spans="1:3" x14ac:dyDescent="0.2">
      <c r="A10" s="2" t="s">
        <v>54</v>
      </c>
      <c r="B10" s="10">
        <v>5898</v>
      </c>
      <c r="C10" s="10">
        <v>33248080</v>
      </c>
    </row>
    <row r="11" spans="1:3" x14ac:dyDescent="0.2">
      <c r="A11" s="2" t="s">
        <v>59</v>
      </c>
      <c r="B11" s="10">
        <v>2428</v>
      </c>
      <c r="C11" s="10">
        <v>5152349</v>
      </c>
    </row>
    <row r="12" spans="1:3" x14ac:dyDescent="0.2">
      <c r="A12" s="2" t="s">
        <v>56</v>
      </c>
      <c r="B12" s="10">
        <v>3093</v>
      </c>
      <c r="C12" s="10">
        <v>3164458</v>
      </c>
    </row>
    <row r="13" spans="1:3" x14ac:dyDescent="0.2">
      <c r="A13" s="2" t="s">
        <v>57</v>
      </c>
      <c r="B13" s="10">
        <v>7090</v>
      </c>
      <c r="C13" s="10">
        <v>6916682</v>
      </c>
    </row>
    <row r="15" spans="1:3" x14ac:dyDescent="0.2">
      <c r="A15" s="6" t="s">
        <v>60</v>
      </c>
      <c r="B15" s="6" t="s">
        <v>8</v>
      </c>
      <c r="C15" s="6" t="s">
        <v>53</v>
      </c>
    </row>
    <row r="17" spans="1:3" x14ac:dyDescent="0.2">
      <c r="A17" s="2" t="s">
        <v>54</v>
      </c>
      <c r="B17" s="10">
        <v>7491</v>
      </c>
      <c r="C17" s="10">
        <v>32237422</v>
      </c>
    </row>
    <row r="18" spans="1:3" x14ac:dyDescent="0.2">
      <c r="A18" s="2" t="s">
        <v>55</v>
      </c>
      <c r="B18" s="10">
        <v>2203</v>
      </c>
      <c r="C18" s="10">
        <v>2349796</v>
      </c>
    </row>
    <row r="19" spans="1:3" x14ac:dyDescent="0.2">
      <c r="A19" s="2" t="s">
        <v>56</v>
      </c>
      <c r="B19" s="10">
        <v>3891</v>
      </c>
      <c r="C19" s="10">
        <v>5123680</v>
      </c>
    </row>
    <row r="20" spans="1:3" x14ac:dyDescent="0.2">
      <c r="A20" s="2" t="s">
        <v>57</v>
      </c>
      <c r="B20" s="10">
        <v>7473</v>
      </c>
      <c r="C20" s="10">
        <v>8010020</v>
      </c>
    </row>
    <row r="22" spans="1:3" x14ac:dyDescent="0.2">
      <c r="A22" s="6" t="s">
        <v>61</v>
      </c>
      <c r="B22" s="6" t="s">
        <v>8</v>
      </c>
      <c r="C22" s="6" t="s">
        <v>53</v>
      </c>
    </row>
    <row r="24" spans="1:3" x14ac:dyDescent="0.2">
      <c r="A24" s="2" t="s">
        <v>54</v>
      </c>
      <c r="B24" s="10">
        <v>10482</v>
      </c>
      <c r="C24" s="10">
        <v>39902306</v>
      </c>
    </row>
    <row r="25" spans="1:3" x14ac:dyDescent="0.2">
      <c r="A25" s="2" t="s">
        <v>59</v>
      </c>
      <c r="B25" s="10">
        <v>3679</v>
      </c>
      <c r="C25" s="10">
        <v>4153919</v>
      </c>
    </row>
    <row r="26" spans="1:3" x14ac:dyDescent="0.2">
      <c r="A26" s="2" t="s">
        <v>56</v>
      </c>
      <c r="B26" s="10">
        <v>7344</v>
      </c>
      <c r="C26" s="10">
        <v>11088919</v>
      </c>
    </row>
    <row r="27" spans="1:3" x14ac:dyDescent="0.2">
      <c r="A27" s="2" t="s">
        <v>57</v>
      </c>
      <c r="B27" s="10">
        <v>12670</v>
      </c>
      <c r="C27" s="10">
        <v>11905417</v>
      </c>
    </row>
    <row r="29" spans="1:3" x14ac:dyDescent="0.2">
      <c r="A29" s="6" t="s">
        <v>62</v>
      </c>
      <c r="B29" s="6" t="s">
        <v>8</v>
      </c>
      <c r="C29" s="6" t="s">
        <v>53</v>
      </c>
    </row>
    <row r="31" spans="1:3" x14ac:dyDescent="0.2">
      <c r="A31" s="2" t="s">
        <v>54</v>
      </c>
      <c r="B31" s="10">
        <v>3059</v>
      </c>
      <c r="C31" s="10">
        <v>10260291</v>
      </c>
    </row>
    <row r="32" spans="1:3" x14ac:dyDescent="0.2">
      <c r="A32" s="2" t="s">
        <v>59</v>
      </c>
      <c r="B32" s="10">
        <v>129</v>
      </c>
      <c r="C32" s="10">
        <v>234794</v>
      </c>
    </row>
    <row r="33" spans="1:3" x14ac:dyDescent="0.2">
      <c r="A33" s="2" t="s">
        <v>56</v>
      </c>
      <c r="B33" s="10">
        <v>16140</v>
      </c>
      <c r="C33" s="10">
        <v>16287333</v>
      </c>
    </row>
    <row r="34" spans="1:3" x14ac:dyDescent="0.2">
      <c r="A34" s="2" t="s">
        <v>57</v>
      </c>
      <c r="B34" s="10">
        <v>22107</v>
      </c>
      <c r="C34" s="10">
        <v>20408571</v>
      </c>
    </row>
    <row r="36" spans="1:3" x14ac:dyDescent="0.2">
      <c r="A36" s="6" t="s">
        <v>63</v>
      </c>
      <c r="B36" s="6" t="s">
        <v>8</v>
      </c>
      <c r="C36" s="6" t="s">
        <v>53</v>
      </c>
    </row>
    <row r="38" spans="1:3" x14ac:dyDescent="0.2">
      <c r="A38" s="2" t="s">
        <v>54</v>
      </c>
      <c r="B38" s="4">
        <v>42</v>
      </c>
      <c r="C38" s="4">
        <v>208695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5"/>
  <sheetViews>
    <sheetView workbookViewId="0">
      <selection activeCell="D1" sqref="D1"/>
    </sheetView>
  </sheetViews>
  <sheetFormatPr baseColWidth="10" defaultColWidth="12.5703125" defaultRowHeight="15.75" customHeight="1" x14ac:dyDescent="0.2"/>
  <cols>
    <col min="3" max="3" width="40.5703125" customWidth="1"/>
    <col min="4" max="4" width="44" customWidth="1"/>
  </cols>
  <sheetData>
    <row r="1" spans="1:4" x14ac:dyDescent="0.2">
      <c r="A1" s="2" t="s">
        <v>65</v>
      </c>
      <c r="B1" s="2" t="s">
        <v>64</v>
      </c>
      <c r="C1" s="2" t="s">
        <v>66</v>
      </c>
      <c r="D1" s="2" t="s">
        <v>67</v>
      </c>
    </row>
    <row r="2" spans="1:4" x14ac:dyDescent="0.2">
      <c r="A2" s="3" t="s">
        <v>17</v>
      </c>
      <c r="B2" s="3" t="s">
        <v>19</v>
      </c>
      <c r="C2" s="4">
        <v>531.99570000000006</v>
      </c>
      <c r="D2" s="4">
        <v>548.17899999999997</v>
      </c>
    </row>
    <row r="3" spans="1:4" x14ac:dyDescent="0.2">
      <c r="A3" s="3" t="s">
        <v>17</v>
      </c>
      <c r="B3" s="3" t="s">
        <v>25</v>
      </c>
      <c r="C3" s="4">
        <v>790.70280000000002</v>
      </c>
      <c r="D3" s="4">
        <v>757.26239999999996</v>
      </c>
    </row>
    <row r="4" spans="1:4" x14ac:dyDescent="0.2">
      <c r="A4" s="3" t="s">
        <v>29</v>
      </c>
      <c r="B4" s="3" t="s">
        <v>19</v>
      </c>
      <c r="C4" s="4">
        <v>1183.8948</v>
      </c>
      <c r="D4" s="4">
        <v>1062.6123</v>
      </c>
    </row>
    <row r="5" spans="1:4" x14ac:dyDescent="0.2">
      <c r="A5" s="3" t="s">
        <v>29</v>
      </c>
      <c r="B5" s="3" t="s">
        <v>25</v>
      </c>
      <c r="C5" s="4">
        <v>1597.7446</v>
      </c>
      <c r="D5" s="4">
        <v>1358.7456</v>
      </c>
    </row>
    <row r="6" spans="1:4" x14ac:dyDescent="0.2">
      <c r="A6" s="3" t="s">
        <v>32</v>
      </c>
      <c r="B6" s="3" t="s">
        <v>19</v>
      </c>
      <c r="C6" s="4">
        <v>1879.0775000000001</v>
      </c>
      <c r="D6" s="4">
        <v>1368.5804000000001</v>
      </c>
    </row>
    <row r="7" spans="1:4" x14ac:dyDescent="0.2">
      <c r="A7" s="3" t="s">
        <v>32</v>
      </c>
      <c r="B7" s="3" t="s">
        <v>25</v>
      </c>
      <c r="C7" s="4">
        <v>2566.3802000000001</v>
      </c>
      <c r="D7" s="4">
        <v>2020.5859</v>
      </c>
    </row>
    <row r="8" spans="1:4" x14ac:dyDescent="0.2">
      <c r="A8" s="3" t="s">
        <v>36</v>
      </c>
      <c r="B8" s="3" t="s">
        <v>19</v>
      </c>
      <c r="C8" s="4">
        <v>2097.8678</v>
      </c>
      <c r="D8" s="4">
        <v>1474.8974000000001</v>
      </c>
    </row>
    <row r="9" spans="1:4" x14ac:dyDescent="0.2">
      <c r="A9" s="3" t="s">
        <v>36</v>
      </c>
      <c r="B9" s="3" t="s">
        <v>25</v>
      </c>
      <c r="C9" s="4">
        <v>2821.0146</v>
      </c>
      <c r="D9" s="4">
        <v>1928.1510000000001</v>
      </c>
    </row>
    <row r="10" spans="1:4" x14ac:dyDescent="0.2">
      <c r="A10" s="3" t="s">
        <v>37</v>
      </c>
      <c r="B10" s="3" t="s">
        <v>19</v>
      </c>
      <c r="C10" s="4">
        <v>2053.9915000000001</v>
      </c>
      <c r="D10" s="4">
        <v>1630.3919000000001</v>
      </c>
    </row>
    <row r="11" spans="1:4" x14ac:dyDescent="0.2">
      <c r="A11" s="3" t="s">
        <v>37</v>
      </c>
      <c r="B11" s="3" t="s">
        <v>25</v>
      </c>
      <c r="C11" s="4">
        <v>3081.2737999999999</v>
      </c>
      <c r="D11" s="4">
        <v>2078.9423000000002</v>
      </c>
    </row>
    <row r="12" spans="1:4" x14ac:dyDescent="0.2">
      <c r="A12" s="20" t="s">
        <v>40</v>
      </c>
      <c r="B12" s="20" t="s">
        <v>19</v>
      </c>
      <c r="C12" s="21">
        <v>1603.2081000000001</v>
      </c>
      <c r="D12" s="21">
        <v>1401.6228000000001</v>
      </c>
    </row>
    <row r="13" spans="1:4" x14ac:dyDescent="0.2">
      <c r="A13" s="26" t="s">
        <v>40</v>
      </c>
      <c r="B13" s="26" t="s">
        <v>25</v>
      </c>
      <c r="C13" s="27">
        <v>2139.8461000000002</v>
      </c>
      <c r="D13" s="27">
        <v>1581.1398999999999</v>
      </c>
    </row>
    <row r="14" spans="1:4" x14ac:dyDescent="0.2">
      <c r="A14" s="23"/>
      <c r="B14" s="23"/>
      <c r="C14" s="24"/>
      <c r="D14" s="24"/>
    </row>
    <row r="15" spans="1:4" x14ac:dyDescent="0.2">
      <c r="A15" s="23"/>
      <c r="B15" s="23"/>
      <c r="C15" s="24"/>
      <c r="D15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18"/>
  <sheetViews>
    <sheetView workbookViewId="0">
      <selection activeCell="C1" sqref="C1"/>
    </sheetView>
  </sheetViews>
  <sheetFormatPr baseColWidth="10" defaultColWidth="12.5703125" defaultRowHeight="15.75" customHeight="1" x14ac:dyDescent="0.2"/>
  <cols>
    <col min="2" max="2" width="40.5703125" customWidth="1"/>
    <col min="3" max="3" width="44" customWidth="1"/>
  </cols>
  <sheetData>
    <row r="1" spans="1:3" x14ac:dyDescent="0.2">
      <c r="A1" s="2" t="s">
        <v>65</v>
      </c>
      <c r="B1" s="2" t="s">
        <v>66</v>
      </c>
      <c r="C1" s="2" t="s">
        <v>67</v>
      </c>
    </row>
    <row r="2" spans="1:3" x14ac:dyDescent="0.2">
      <c r="A2" s="3" t="s">
        <v>17</v>
      </c>
      <c r="B2" s="4">
        <v>667.92229999999995</v>
      </c>
      <c r="C2" s="4">
        <v>658.24580000000003</v>
      </c>
    </row>
    <row r="3" spans="1:3" x14ac:dyDescent="0.2">
      <c r="A3" s="3" t="s">
        <v>29</v>
      </c>
      <c r="B3" s="4">
        <v>1395.2109</v>
      </c>
      <c r="C3" s="4">
        <v>1223.0047999999999</v>
      </c>
    </row>
    <row r="4" spans="1:3" x14ac:dyDescent="0.2">
      <c r="A4" s="3" t="s">
        <v>32</v>
      </c>
      <c r="B4" s="4">
        <v>2231.7426999999998</v>
      </c>
      <c r="C4" s="4">
        <v>1723.9258</v>
      </c>
    </row>
    <row r="5" spans="1:3" x14ac:dyDescent="0.2">
      <c r="A5" s="3" t="s">
        <v>36</v>
      </c>
      <c r="B5" s="4">
        <v>2450.7357000000002</v>
      </c>
      <c r="C5" s="4">
        <v>1711.2864999999999</v>
      </c>
    </row>
    <row r="6" spans="1:3" x14ac:dyDescent="0.2">
      <c r="A6" s="20" t="s">
        <v>37</v>
      </c>
      <c r="B6" s="21">
        <v>2514.7968000000001</v>
      </c>
      <c r="C6" s="21">
        <v>1832.4398000000001</v>
      </c>
    </row>
    <row r="7" spans="1:3" x14ac:dyDescent="0.2">
      <c r="A7" s="26" t="s">
        <v>40</v>
      </c>
      <c r="B7" s="27">
        <v>1829.9558999999999</v>
      </c>
      <c r="C7" s="27">
        <v>1477.3119999999999</v>
      </c>
    </row>
    <row r="8" spans="1:3" x14ac:dyDescent="0.2">
      <c r="A8" s="23"/>
      <c r="B8" s="24"/>
      <c r="C8" s="24"/>
    </row>
    <row r="12" spans="1:3" x14ac:dyDescent="0.2">
      <c r="B12" s="8"/>
    </row>
    <row r="13" spans="1:3" x14ac:dyDescent="0.2">
      <c r="B13" s="8"/>
    </row>
    <row r="14" spans="1:3" x14ac:dyDescent="0.2">
      <c r="B14" s="8"/>
    </row>
    <row r="15" spans="1:3" x14ac:dyDescent="0.2">
      <c r="B15" s="8"/>
    </row>
    <row r="16" spans="1:3" x14ac:dyDescent="0.2">
      <c r="B16" s="8"/>
    </row>
    <row r="17" spans="2:2" x14ac:dyDescent="0.2">
      <c r="B17" s="8"/>
    </row>
    <row r="18" spans="2:2" x14ac:dyDescent="0.2">
      <c r="B1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49"/>
  <sheetViews>
    <sheetView workbookViewId="0"/>
  </sheetViews>
  <sheetFormatPr baseColWidth="10" defaultColWidth="12.5703125" defaultRowHeight="15.75" customHeight="1" x14ac:dyDescent="0.2"/>
  <cols>
    <col min="2" max="2" width="24.140625" customWidth="1"/>
    <col min="3" max="3" width="28.28515625" customWidth="1"/>
    <col min="4" max="4" width="25.42578125" customWidth="1"/>
    <col min="5" max="5" width="24.7109375" customWidth="1"/>
    <col min="6" max="6" width="19.85546875" style="32" customWidth="1"/>
  </cols>
  <sheetData>
    <row r="1" spans="1:9" ht="12.75" x14ac:dyDescent="0.2">
      <c r="A1" s="11" t="s">
        <v>68</v>
      </c>
      <c r="B1" s="11" t="s">
        <v>93</v>
      </c>
      <c r="C1" s="11" t="s">
        <v>90</v>
      </c>
      <c r="D1" s="28" t="s">
        <v>6</v>
      </c>
      <c r="E1" s="33" t="s">
        <v>7</v>
      </c>
      <c r="F1" s="35"/>
    </row>
    <row r="2" spans="1:9" ht="12.75" x14ac:dyDescent="0.2">
      <c r="A2" s="3" t="s">
        <v>69</v>
      </c>
      <c r="B2" s="4">
        <v>121082</v>
      </c>
      <c r="C2" s="10">
        <v>468279472</v>
      </c>
      <c r="D2" s="29">
        <v>26764</v>
      </c>
      <c r="E2" s="34">
        <v>66704250</v>
      </c>
      <c r="F2" s="30"/>
      <c r="H2" s="1"/>
      <c r="I2" s="8"/>
    </row>
    <row r="3" spans="1:9" ht="12.75" x14ac:dyDescent="0.2">
      <c r="A3" s="3" t="s">
        <v>70</v>
      </c>
      <c r="B3" s="4">
        <v>35023</v>
      </c>
      <c r="C3" s="10">
        <v>142579544</v>
      </c>
      <c r="D3" s="29">
        <v>7878</v>
      </c>
      <c r="E3" s="34">
        <v>19474073</v>
      </c>
      <c r="F3" s="30"/>
      <c r="H3" s="1"/>
      <c r="I3" s="8"/>
    </row>
    <row r="4" spans="1:9" ht="12.75" x14ac:dyDescent="0.2">
      <c r="A4" s="3" t="s">
        <v>71</v>
      </c>
      <c r="B4" s="4">
        <v>35400</v>
      </c>
      <c r="C4" s="10">
        <v>119737374</v>
      </c>
      <c r="D4" s="29">
        <v>10664</v>
      </c>
      <c r="E4" s="34">
        <v>22084634</v>
      </c>
      <c r="F4" s="30"/>
      <c r="H4" s="1"/>
      <c r="I4" s="8"/>
    </row>
    <row r="5" spans="1:9" ht="12.75" x14ac:dyDescent="0.2">
      <c r="A5" s="3" t="s">
        <v>72</v>
      </c>
      <c r="B5" s="4">
        <v>29240</v>
      </c>
      <c r="C5" s="10">
        <v>108240876</v>
      </c>
      <c r="D5" s="29">
        <v>8201</v>
      </c>
      <c r="E5" s="34">
        <v>19404147</v>
      </c>
      <c r="F5" s="30"/>
      <c r="H5" s="1"/>
      <c r="I5" s="8"/>
    </row>
    <row r="6" spans="1:9" ht="12.75" x14ac:dyDescent="0.2">
      <c r="A6" s="3" t="s">
        <v>73</v>
      </c>
      <c r="B6" s="4">
        <v>30098</v>
      </c>
      <c r="C6" s="10">
        <v>99931066</v>
      </c>
      <c r="D6" s="29">
        <v>7292</v>
      </c>
      <c r="E6" s="34">
        <v>16438082</v>
      </c>
      <c r="F6" s="30"/>
      <c r="H6" s="1"/>
      <c r="I6" s="8"/>
    </row>
    <row r="7" spans="1:9" ht="12.75" x14ac:dyDescent="0.2">
      <c r="A7" s="3" t="s">
        <v>74</v>
      </c>
      <c r="B7" s="4">
        <v>8327</v>
      </c>
      <c r="C7" s="10">
        <v>25756318</v>
      </c>
      <c r="D7" s="29">
        <v>2521</v>
      </c>
      <c r="E7" s="34">
        <v>4807790</v>
      </c>
      <c r="F7" s="30"/>
      <c r="H7" s="1"/>
      <c r="I7" s="8"/>
    </row>
    <row r="8" spans="1:9" ht="12.75" x14ac:dyDescent="0.2">
      <c r="A8" s="3" t="s">
        <v>75</v>
      </c>
      <c r="B8" s="4">
        <v>5248</v>
      </c>
      <c r="C8" s="10">
        <v>18042359</v>
      </c>
      <c r="D8" s="29">
        <v>941</v>
      </c>
      <c r="E8" s="34">
        <v>1889346</v>
      </c>
      <c r="F8" s="30"/>
      <c r="H8" s="1"/>
      <c r="I8" s="8"/>
    </row>
    <row r="9" spans="1:9" ht="12.75" x14ac:dyDescent="0.2">
      <c r="A9" s="3" t="s">
        <v>76</v>
      </c>
      <c r="B9" s="4">
        <v>4899</v>
      </c>
      <c r="C9" s="10">
        <v>17090346</v>
      </c>
      <c r="D9" s="29">
        <v>830</v>
      </c>
      <c r="E9" s="34">
        <v>1776105</v>
      </c>
      <c r="F9" s="30"/>
      <c r="H9" s="1"/>
      <c r="I9" s="8"/>
    </row>
    <row r="10" spans="1:9" ht="12.75" x14ac:dyDescent="0.2">
      <c r="A10" s="3" t="s">
        <v>77</v>
      </c>
      <c r="B10" s="4">
        <v>5075</v>
      </c>
      <c r="C10" s="10">
        <v>24195742</v>
      </c>
      <c r="D10" s="29">
        <v>779</v>
      </c>
      <c r="E10" s="34">
        <v>3219474</v>
      </c>
      <c r="F10" s="30"/>
      <c r="H10" s="1"/>
      <c r="I10" s="8"/>
    </row>
    <row r="11" spans="1:9" ht="12.75" x14ac:dyDescent="0.2">
      <c r="A11" s="3" t="s">
        <v>78</v>
      </c>
      <c r="B11" s="4">
        <v>4688</v>
      </c>
      <c r="C11" s="10">
        <v>19631343</v>
      </c>
      <c r="D11" s="29">
        <v>647</v>
      </c>
      <c r="E11" s="34">
        <v>2614690</v>
      </c>
      <c r="F11" s="30"/>
      <c r="H11" s="1"/>
      <c r="I11" s="8"/>
    </row>
    <row r="12" spans="1:9" ht="12.75" x14ac:dyDescent="0.2">
      <c r="A12" s="3" t="s">
        <v>79</v>
      </c>
      <c r="B12" s="4">
        <v>2556</v>
      </c>
      <c r="C12" s="10">
        <v>8683740</v>
      </c>
      <c r="D12" s="29">
        <v>574</v>
      </c>
      <c r="E12" s="34">
        <v>1563277</v>
      </c>
      <c r="F12" s="30"/>
      <c r="H12" s="1"/>
      <c r="I12" s="8"/>
    </row>
    <row r="13" spans="1:9" ht="12.75" x14ac:dyDescent="0.2">
      <c r="A13" s="3" t="s">
        <v>80</v>
      </c>
      <c r="B13" s="4">
        <v>1125</v>
      </c>
      <c r="C13" s="10">
        <v>3739056</v>
      </c>
      <c r="D13" s="29">
        <v>217</v>
      </c>
      <c r="E13" s="34">
        <v>502147</v>
      </c>
      <c r="F13" s="30"/>
      <c r="H13" s="1"/>
      <c r="I13" s="8"/>
    </row>
    <row r="14" spans="1:9" ht="12.75" x14ac:dyDescent="0.2">
      <c r="A14" s="3" t="s">
        <v>81</v>
      </c>
      <c r="B14" s="3">
        <v>787</v>
      </c>
      <c r="C14" s="10">
        <v>2355843</v>
      </c>
      <c r="D14" s="29">
        <v>159</v>
      </c>
      <c r="E14" s="34">
        <v>294418</v>
      </c>
      <c r="F14" s="30"/>
      <c r="H14" s="1"/>
      <c r="I14" s="8"/>
    </row>
    <row r="15" spans="1:9" ht="12.75" x14ac:dyDescent="0.2">
      <c r="A15" s="3" t="s">
        <v>82</v>
      </c>
      <c r="B15" s="3">
        <v>142</v>
      </c>
      <c r="C15" s="10">
        <v>923770</v>
      </c>
      <c r="D15" s="29">
        <v>18</v>
      </c>
      <c r="E15" s="34">
        <v>66518</v>
      </c>
      <c r="F15" s="30"/>
      <c r="H15" s="1"/>
      <c r="I15" s="8"/>
    </row>
    <row r="16" spans="1:9" ht="12.75" x14ac:dyDescent="0.2">
      <c r="A16" s="3" t="s">
        <v>83</v>
      </c>
      <c r="B16" s="3">
        <v>167</v>
      </c>
      <c r="C16" s="10">
        <v>506888</v>
      </c>
      <c r="D16" s="29">
        <v>21</v>
      </c>
      <c r="E16" s="34">
        <v>23136</v>
      </c>
      <c r="F16" s="30"/>
      <c r="H16" s="1"/>
      <c r="I16" s="8"/>
    </row>
    <row r="17" spans="1:9" ht="12.75" x14ac:dyDescent="0.2">
      <c r="A17" s="3" t="s">
        <v>84</v>
      </c>
      <c r="B17" s="3">
        <v>534</v>
      </c>
      <c r="C17" s="10">
        <v>3610213</v>
      </c>
      <c r="D17" s="29">
        <v>92</v>
      </c>
      <c r="E17" s="34">
        <v>565383</v>
      </c>
      <c r="F17" s="30"/>
      <c r="H17" s="1"/>
      <c r="I17" s="8"/>
    </row>
    <row r="18" spans="1:9" ht="12.75" x14ac:dyDescent="0.2">
      <c r="A18" s="3" t="s">
        <v>85</v>
      </c>
      <c r="B18" s="4">
        <v>285794</v>
      </c>
      <c r="C18" s="4">
        <v>1067769051</v>
      </c>
      <c r="D18" s="4">
        <v>67874</v>
      </c>
      <c r="E18" s="4">
        <v>161962468</v>
      </c>
      <c r="F18" s="31"/>
    </row>
    <row r="20" spans="1:9" ht="15.75" customHeight="1" x14ac:dyDescent="0.2">
      <c r="A20" s="42" t="s">
        <v>91</v>
      </c>
    </row>
    <row r="26" spans="1:9" ht="12.75" x14ac:dyDescent="0.2">
      <c r="A26" s="12"/>
      <c r="B26" s="13"/>
      <c r="C26" s="13"/>
      <c r="D26" s="13"/>
      <c r="E26" s="13"/>
      <c r="F26" s="13"/>
      <c r="G26" s="13"/>
    </row>
    <row r="27" spans="1:9" ht="15.75" customHeight="1" x14ac:dyDescent="0.2">
      <c r="A27" s="13"/>
      <c r="B27" s="13"/>
      <c r="C27" s="13"/>
      <c r="D27" s="13"/>
      <c r="E27" s="13"/>
      <c r="F27" s="13"/>
      <c r="G27" s="13"/>
    </row>
    <row r="28" spans="1:9" ht="12.75" x14ac:dyDescent="0.2">
      <c r="A28" s="14"/>
      <c r="B28" s="15"/>
      <c r="C28" s="14"/>
      <c r="D28" s="14"/>
      <c r="E28" s="14"/>
      <c r="F28" s="14"/>
      <c r="G28" s="13"/>
    </row>
    <row r="29" spans="1:9" ht="12.75" x14ac:dyDescent="0.2">
      <c r="A29" s="16"/>
      <c r="B29" s="17"/>
      <c r="C29" s="17"/>
      <c r="D29" s="17"/>
      <c r="E29" s="17"/>
      <c r="F29" s="18"/>
      <c r="G29" s="13"/>
    </row>
    <row r="30" spans="1:9" ht="12.75" x14ac:dyDescent="0.2">
      <c r="A30" s="16"/>
      <c r="B30" s="17"/>
      <c r="C30" s="17"/>
      <c r="D30" s="17"/>
      <c r="E30" s="17"/>
      <c r="F30" s="18"/>
      <c r="G30" s="13"/>
    </row>
    <row r="31" spans="1:9" ht="12.75" x14ac:dyDescent="0.2">
      <c r="A31" s="16"/>
      <c r="B31" s="17"/>
      <c r="C31" s="17"/>
      <c r="D31" s="17"/>
      <c r="E31" s="17"/>
      <c r="F31" s="18"/>
      <c r="G31" s="13"/>
    </row>
    <row r="32" spans="1:9" ht="12.75" x14ac:dyDescent="0.2">
      <c r="A32" s="16"/>
      <c r="B32" s="17"/>
      <c r="C32" s="17"/>
      <c r="D32" s="17"/>
      <c r="E32" s="17"/>
      <c r="F32" s="18"/>
      <c r="G32" s="13"/>
    </row>
    <row r="33" spans="1:7" ht="12.75" x14ac:dyDescent="0.2">
      <c r="A33" s="16"/>
      <c r="B33" s="17"/>
      <c r="C33" s="17"/>
      <c r="D33" s="17"/>
      <c r="E33" s="17"/>
      <c r="F33" s="18"/>
      <c r="G33" s="13"/>
    </row>
    <row r="34" spans="1:7" ht="12.75" x14ac:dyDescent="0.2">
      <c r="A34" s="16"/>
      <c r="B34" s="17"/>
      <c r="C34" s="17"/>
      <c r="D34" s="17"/>
      <c r="E34" s="17"/>
      <c r="F34" s="18"/>
      <c r="G34" s="13"/>
    </row>
    <row r="35" spans="1:7" ht="12.75" x14ac:dyDescent="0.2">
      <c r="A35" s="16"/>
      <c r="B35" s="17"/>
      <c r="C35" s="17"/>
      <c r="D35" s="17"/>
      <c r="E35" s="17"/>
      <c r="F35" s="18"/>
      <c r="G35" s="13"/>
    </row>
    <row r="36" spans="1:7" ht="12.75" x14ac:dyDescent="0.2">
      <c r="A36" s="16"/>
      <c r="B36" s="17"/>
      <c r="C36" s="17"/>
      <c r="D36" s="17"/>
      <c r="E36" s="17"/>
      <c r="F36" s="18"/>
      <c r="G36" s="13"/>
    </row>
    <row r="37" spans="1:7" ht="12.75" x14ac:dyDescent="0.2">
      <c r="A37" s="16"/>
      <c r="B37" s="17"/>
      <c r="C37" s="17"/>
      <c r="D37" s="17"/>
      <c r="E37" s="17"/>
      <c r="F37" s="18"/>
      <c r="G37" s="13"/>
    </row>
    <row r="38" spans="1:7" ht="12.75" x14ac:dyDescent="0.2">
      <c r="A38" s="16"/>
      <c r="B38" s="17"/>
      <c r="C38" s="17"/>
      <c r="D38" s="17"/>
      <c r="E38" s="17"/>
      <c r="F38" s="18"/>
      <c r="G38" s="13"/>
    </row>
    <row r="39" spans="1:7" ht="12.75" x14ac:dyDescent="0.2">
      <c r="A39" s="16"/>
      <c r="B39" s="17"/>
      <c r="C39" s="17"/>
      <c r="D39" s="17"/>
      <c r="E39" s="17"/>
      <c r="F39" s="18"/>
      <c r="G39" s="13"/>
    </row>
    <row r="40" spans="1:7" ht="12.75" x14ac:dyDescent="0.2">
      <c r="A40" s="16"/>
      <c r="B40" s="17"/>
      <c r="C40" s="17"/>
      <c r="D40" s="17"/>
      <c r="E40" s="17"/>
      <c r="F40" s="18"/>
      <c r="G40" s="13"/>
    </row>
    <row r="41" spans="1:7" ht="12.75" x14ac:dyDescent="0.2">
      <c r="A41" s="16"/>
      <c r="B41" s="17"/>
      <c r="C41" s="17"/>
      <c r="D41" s="17"/>
      <c r="E41" s="17"/>
      <c r="F41" s="18"/>
      <c r="G41" s="13"/>
    </row>
    <row r="42" spans="1:7" ht="12.75" x14ac:dyDescent="0.2">
      <c r="A42" s="16"/>
      <c r="B42" s="17"/>
      <c r="C42" s="17"/>
      <c r="D42" s="17"/>
      <c r="E42" s="17"/>
      <c r="F42" s="18"/>
      <c r="G42" s="13"/>
    </row>
    <row r="43" spans="1:7" ht="12.75" x14ac:dyDescent="0.2">
      <c r="A43" s="16"/>
      <c r="B43" s="17"/>
      <c r="C43" s="17"/>
      <c r="D43" s="17"/>
      <c r="E43" s="17"/>
      <c r="F43" s="18"/>
      <c r="G43" s="13"/>
    </row>
    <row r="44" spans="1:7" ht="12.75" x14ac:dyDescent="0.2">
      <c r="A44" s="16"/>
      <c r="B44" s="17"/>
      <c r="C44" s="17"/>
      <c r="D44" s="17"/>
      <c r="E44" s="17"/>
      <c r="F44" s="18"/>
      <c r="G44" s="13"/>
    </row>
    <row r="45" spans="1:7" ht="12.75" x14ac:dyDescent="0.2">
      <c r="A45" s="16"/>
      <c r="B45" s="17"/>
      <c r="C45" s="17"/>
      <c r="D45" s="17"/>
      <c r="E45" s="17"/>
      <c r="F45" s="18"/>
      <c r="G45" s="13"/>
    </row>
    <row r="46" spans="1:7" ht="15.75" customHeight="1" x14ac:dyDescent="0.2">
      <c r="A46" s="13"/>
      <c r="B46" s="13"/>
      <c r="C46" s="13"/>
      <c r="D46" s="13"/>
      <c r="E46" s="13"/>
      <c r="F46" s="13"/>
      <c r="G46" s="13"/>
    </row>
    <row r="47" spans="1:7" ht="15.75" customHeight="1" x14ac:dyDescent="0.2">
      <c r="A47" s="13"/>
      <c r="B47" s="13"/>
      <c r="C47" s="13"/>
      <c r="D47" s="13"/>
      <c r="E47" s="13"/>
      <c r="F47" s="13"/>
      <c r="G47" s="13"/>
    </row>
    <row r="48" spans="1:7" ht="15.75" customHeight="1" x14ac:dyDescent="0.2">
      <c r="A48" s="13"/>
      <c r="B48" s="13"/>
      <c r="C48" s="13"/>
      <c r="D48" s="13"/>
      <c r="E48" s="13"/>
      <c r="F48" s="13"/>
      <c r="G48" s="13"/>
    </row>
    <row r="49" spans="1:7" ht="15.75" customHeight="1" x14ac:dyDescent="0.2">
      <c r="A49" s="13"/>
      <c r="B49" s="13"/>
      <c r="C49" s="13"/>
      <c r="D49" s="13"/>
      <c r="E49" s="13"/>
      <c r="F49" s="13"/>
      <c r="G4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Indice</vt:lpstr>
      <vt:lpstr>1.1</vt:lpstr>
      <vt:lpstr>1.2</vt:lpstr>
      <vt:lpstr>1.3</vt:lpstr>
      <vt:lpstr>1.4</vt:lpstr>
      <vt:lpstr>1.5</vt:lpstr>
      <vt:lpstr>1.6</vt:lpstr>
      <vt:lpstr>1.7</vt:lpstr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UsuarioCP</dc:creator>
  <cp:lastModifiedBy>UsuarioCP</cp:lastModifiedBy>
  <dcterms:created xsi:type="dcterms:W3CDTF">2026-10-26T15:38:22Z</dcterms:created>
  <dcterms:modified xsi:type="dcterms:W3CDTF">2026-10-28T14:00:32Z</dcterms:modified>
</cp:coreProperties>
</file>