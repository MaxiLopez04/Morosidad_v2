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Morosidad\Julio\"/>
    </mc:Choice>
  </mc:AlternateContent>
  <xr:revisionPtr revIDLastSave="0" documentId="13_ncr:1_{2C2CDAC9-60D1-49AD-954E-59208219F754}" xr6:coauthVersionLast="47" xr6:coauthVersionMax="47" xr10:uidLastSave="{00000000-0000-0000-0000-000000000000}"/>
  <bookViews>
    <workbookView xWindow="-105" yWindow="0" windowWidth="14610" windowHeight="15585" activeTab="8" xr2:uid="{00000000-000D-0000-FFFF-FFFF00000000}"/>
  </bookViews>
  <sheets>
    <sheet name="indice" sheetId="1" r:id="rId1"/>
    <sheet name="1.1" sheetId="2" r:id="rId2"/>
    <sheet name="1.2" sheetId="3" r:id="rId3"/>
    <sheet name="1.3" sheetId="4" r:id="rId4"/>
    <sheet name="1.4" sheetId="5" r:id="rId5"/>
    <sheet name="1.5" sheetId="6" r:id="rId6"/>
    <sheet name="1.6" sheetId="7" r:id="rId7"/>
    <sheet name="1.7" sheetId="8" r:id="rId8"/>
    <sheet name="1.8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B4" i="2"/>
</calcChain>
</file>

<file path=xl/sharedStrings.xml><?xml version="1.0" encoding="utf-8"?>
<sst xmlns="http://schemas.openxmlformats.org/spreadsheetml/2006/main" count="173" uniqueCount="94">
  <si>
    <t xml:space="preserve">Deudores unicos por entidad y prestamos </t>
  </si>
  <si>
    <t>Jujuy</t>
  </si>
  <si>
    <t>Indice</t>
  </si>
  <si>
    <t>deudores unicos, Total</t>
  </si>
  <si>
    <t>Monto de la deuda. Total en miles de pesos</t>
  </si>
  <si>
    <t>Deudores unicos en mora</t>
  </si>
  <si>
    <t>Monto de la deuda en mora en miles de pesos</t>
  </si>
  <si>
    <t>Bancos</t>
  </si>
  <si>
    <t>Deudores unicos</t>
  </si>
  <si>
    <t xml:space="preserve">Division por edad/sexo </t>
  </si>
  <si>
    <t>Sexo</t>
  </si>
  <si>
    <t>Deudores unicos Total</t>
  </si>
  <si>
    <t>Monto total deuda, en miles de pesos</t>
  </si>
  <si>
    <t>Monto total de la deuda, en miles de pesos</t>
  </si>
  <si>
    <t>Deudores unicos mora</t>
  </si>
  <si>
    <t xml:space="preserve">Compañia financiera </t>
  </si>
  <si>
    <t>Monto de deuda mora, en miles de pesos</t>
  </si>
  <si>
    <t>Hasta 25</t>
  </si>
  <si>
    <t xml:space="preserve">PNFC- otro </t>
  </si>
  <si>
    <t>F</t>
  </si>
  <si>
    <t xml:space="preserve">PNFC- emisora no bancaria de tarjetas </t>
  </si>
  <si>
    <t>1_1</t>
  </si>
  <si>
    <t>M</t>
  </si>
  <si>
    <t>Deudores Totales</t>
  </si>
  <si>
    <t>25-34</t>
  </si>
  <si>
    <t>35-44</t>
  </si>
  <si>
    <t>Deudores en Mora</t>
  </si>
  <si>
    <t>45-54</t>
  </si>
  <si>
    <t>Tasa mora por deudores y monto</t>
  </si>
  <si>
    <t>55-64</t>
  </si>
  <si>
    <t>Deudores unicos y monto del prestamo en miles de pesos. Totales y en Mora.</t>
  </si>
  <si>
    <t>65 o más</t>
  </si>
  <si>
    <t>1_2</t>
  </si>
  <si>
    <t>Deudores unicos por tipo de entidad, y montos de prestamos en miles de pesos. Totales y en Mora.</t>
  </si>
  <si>
    <t>1_3</t>
  </si>
  <si>
    <t>Deudores y monto de la dueda en miles de pesos por rango etario y sexo. Totales y en Mora.</t>
  </si>
  <si>
    <t>Mora: Personas en situaciona 3, 4 y 5</t>
  </si>
  <si>
    <t>1_4</t>
  </si>
  <si>
    <t>Deudores unicos y monto de la deuda en miles de pesos por tipo de situacion.</t>
  </si>
  <si>
    <t>1_5</t>
  </si>
  <si>
    <t>Deudores unicos y monto de la deuda en miles de pesos por tipo de entidad en cada situacion crediticia</t>
  </si>
  <si>
    <t>1_6</t>
  </si>
  <si>
    <t xml:space="preserve">  </t>
  </si>
  <si>
    <t>Promedio de monto de la deuda en miles de pesos, por rango etario y sexo.</t>
  </si>
  <si>
    <t>1_7</t>
  </si>
  <si>
    <t>Promedio del monto de la deuda en miles de pesos, por rango etario</t>
  </si>
  <si>
    <t>Deudores por tipo de situacion</t>
  </si>
  <si>
    <t>Deuda total</t>
  </si>
  <si>
    <t>Situacion 1</t>
  </si>
  <si>
    <t>Situacio1</t>
  </si>
  <si>
    <t>Monto de la deuda, en miles de pesos</t>
  </si>
  <si>
    <t>Situacion 2</t>
  </si>
  <si>
    <t>Banco</t>
  </si>
  <si>
    <t>Situacion 3</t>
  </si>
  <si>
    <t>Situacion 4</t>
  </si>
  <si>
    <t>Compañía financiera</t>
  </si>
  <si>
    <t>Situacion 5</t>
  </si>
  <si>
    <t>PNFC - otro</t>
  </si>
  <si>
    <t>Situacion 11 (incluidas en total no en mora)</t>
  </si>
  <si>
    <t>PNFC - emisora no bancaria de tarjetas</t>
  </si>
  <si>
    <t>Situacio2</t>
  </si>
  <si>
    <t xml:space="preserve">Compañía financiera </t>
  </si>
  <si>
    <t>Situacio3</t>
  </si>
  <si>
    <t>Situacio4</t>
  </si>
  <si>
    <t>Situacio5</t>
  </si>
  <si>
    <t>Situacio11</t>
  </si>
  <si>
    <t>Rango de edad</t>
  </si>
  <si>
    <t>Genero</t>
  </si>
  <si>
    <t>Monto promedio de deuda total en miles de pesos</t>
  </si>
  <si>
    <t>Monto promedio de deuda en mora, en miles de pesos</t>
  </si>
  <si>
    <t>Departamento</t>
  </si>
  <si>
    <t>Dr. Manuel Belgrano</t>
  </si>
  <si>
    <t>El Carmen</t>
  </si>
  <si>
    <t>San Pedro</t>
  </si>
  <si>
    <t>Ledesma</t>
  </si>
  <si>
    <t>Palpalá</t>
  </si>
  <si>
    <t>Santa Bárbara</t>
  </si>
  <si>
    <t>Humahuaca</t>
  </si>
  <si>
    <t>Tilcara</t>
  </si>
  <si>
    <t>Cochinoca</t>
  </si>
  <si>
    <t>Yavi</t>
  </si>
  <si>
    <t>San Antonio</t>
  </si>
  <si>
    <t>Tumbaya</t>
  </si>
  <si>
    <t>Valle Grande</t>
  </si>
  <si>
    <t>Rinconada</t>
  </si>
  <si>
    <t>Santa Catalina</t>
  </si>
  <si>
    <t>Susques</t>
  </si>
  <si>
    <t>Jujuy (total)</t>
  </si>
  <si>
    <t>total Jujuy incluye deudores no geolocalizados por departamento</t>
  </si>
  <si>
    <t>Datos correspondientes al mes de julio 2026</t>
  </si>
  <si>
    <t>Deudores únicos</t>
  </si>
  <si>
    <t>Monto de la deuda en miles de pesos</t>
  </si>
  <si>
    <t>Cantidad de deudores y monto de la deuda total y en mora por departamentos</t>
  </si>
  <si>
    <t>1_8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</si>
</sst>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2" fillId="0" borderId="1" xfId="0" applyFont="1" applyBorder="1" applyAlignment="1"/>
    <xf numFmtId="0" fontId="1" fillId="0" borderId="0" xfId="0" applyFont="1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/>
    <xf numFmtId="4" fontId="3" fillId="0" borderId="0" xfId="0" applyNumberFormat="1" applyFont="1"/>
    <xf numFmtId="0" fontId="4" fillId="0" borderId="0" xfId="0" applyFont="1" applyAlignment="1"/>
    <xf numFmtId="0" fontId="3" fillId="0" borderId="0" xfId="0" applyFont="1" applyAlignment="1"/>
    <xf numFmtId="10" fontId="1" fillId="0" borderId="1" xfId="0" applyNumberFormat="1" applyFont="1" applyBorder="1" applyAlignment="1">
      <alignment horizontal="right"/>
    </xf>
    <xf numFmtId="3" fontId="1" fillId="0" borderId="0" xfId="0" applyNumberFormat="1" applyFont="1" applyAlignment="1"/>
    <xf numFmtId="4" fontId="1" fillId="0" borderId="0" xfId="0" applyNumberFormat="1" applyFont="1" applyAlignment="1"/>
    <xf numFmtId="0" fontId="1" fillId="0" borderId="0" xfId="0" applyFont="1" applyAlignment="1"/>
    <xf numFmtId="0" fontId="5" fillId="0" borderId="0" xfId="0" applyFont="1" applyAlignment="1"/>
    <xf numFmtId="0" fontId="1" fillId="0" borderId="1" xfId="0" applyFont="1" applyBorder="1" applyAlignment="1">
      <alignment horizontal="right"/>
    </xf>
    <xf numFmtId="0" fontId="3" fillId="0" borderId="1" xfId="0" applyFont="1" applyBorder="1" applyAlignment="1"/>
    <xf numFmtId="3" fontId="3" fillId="0" borderId="1" xfId="0" applyNumberFormat="1" applyFont="1" applyBorder="1" applyAlignment="1"/>
    <xf numFmtId="3" fontId="3" fillId="0" borderId="0" xfId="0" applyNumberFormat="1" applyFont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6" fillId="2" borderId="1" xfId="0" applyFont="1" applyFill="1" applyBorder="1" applyAlignment="1"/>
    <xf numFmtId="3" fontId="1" fillId="0" borderId="1" xfId="0" applyNumberFormat="1" applyFont="1" applyBorder="1" applyAlignment="1">
      <alignment horizontal="right"/>
    </xf>
    <xf numFmtId="0" fontId="2" fillId="0" borderId="0" xfId="0" applyFont="1" applyAlignment="1"/>
    <xf numFmtId="0" fontId="6" fillId="0" borderId="0" xfId="0" applyFont="1" applyAlignment="1"/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workbookViewId="0">
      <selection activeCell="A9" sqref="A9"/>
    </sheetView>
  </sheetViews>
  <sheetFormatPr baseColWidth="10" defaultColWidth="12.5703125" defaultRowHeight="15.75" customHeight="1" x14ac:dyDescent="0.2"/>
  <sheetData>
    <row r="1" spans="1:26" x14ac:dyDescent="0.2">
      <c r="A1" s="2" t="s">
        <v>2</v>
      </c>
      <c r="B1" s="2" t="s">
        <v>89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6" t="s">
        <v>21</v>
      </c>
      <c r="B2" s="6" t="s">
        <v>30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6" t="s">
        <v>32</v>
      </c>
      <c r="B3" s="6" t="s">
        <v>33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6" t="s">
        <v>34</v>
      </c>
      <c r="B4" s="6" t="s">
        <v>35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6" t="s">
        <v>37</v>
      </c>
      <c r="B5" s="6" t="s">
        <v>38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6" t="s">
        <v>39</v>
      </c>
      <c r="B6" s="6" t="s">
        <v>40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6" t="s">
        <v>41</v>
      </c>
      <c r="B7" s="6" t="s">
        <v>43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6" t="s">
        <v>44</v>
      </c>
      <c r="B8" s="6" t="s">
        <v>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6" t="s">
        <v>93</v>
      </c>
      <c r="B9" s="6" t="s">
        <v>92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12"/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hyperlinks>
    <hyperlink ref="A2" location="'1.1'!A1" display="1_1" xr:uid="{00000000-0004-0000-0000-000000000000}"/>
    <hyperlink ref="B2" location="'1.1'!A1" display="Deudores unicos y monto del prestamo en miles de pesos. Totales y en Mora." xr:uid="{00000000-0004-0000-0000-000001000000}"/>
    <hyperlink ref="A3" location="'1.2'!A1" display="1_2" xr:uid="{00000000-0004-0000-0000-000002000000}"/>
    <hyperlink ref="B3" location="'1.2'!A1" display="Deudores unicos por tipo de entidad, y montos de prestamos en miles de pesos. Totales y en Mora." xr:uid="{00000000-0004-0000-0000-000003000000}"/>
    <hyperlink ref="A4" location="'1.3'!A1" display="1_3" xr:uid="{00000000-0004-0000-0000-000004000000}"/>
    <hyperlink ref="B4" location="'1.3'!A1" display="Deudores y monto de la dueda en miles de pesos por rango etario y sexo. Totales y en Mora." xr:uid="{00000000-0004-0000-0000-000005000000}"/>
    <hyperlink ref="A5" location="'1.4'!A1" display="1_4" xr:uid="{00000000-0004-0000-0000-000006000000}"/>
    <hyperlink ref="B5" location="'1.4'!A1" display="Deudores unicos y monto de la deuda en miles de pesos por tipo de situacion." xr:uid="{00000000-0004-0000-0000-000007000000}"/>
    <hyperlink ref="A6" location="'1.5'!A1" display="1_5" xr:uid="{00000000-0004-0000-0000-000008000000}"/>
    <hyperlink ref="B6" location="'1.5'!A1" display="Deudores unicos y monto de la deuda en miles de pesos por tipo de entidad en cada situacion crediticia" xr:uid="{00000000-0004-0000-0000-000009000000}"/>
    <hyperlink ref="A7" location="'1.6'!A1" display="1_6" xr:uid="{00000000-0004-0000-0000-00000A000000}"/>
    <hyperlink ref="B7" location="'1.6'!A1" display="Promedio de monto de la deuda en miles de pesos, por rango etario y sexo." xr:uid="{00000000-0004-0000-0000-00000B000000}"/>
    <hyperlink ref="A8" location="'1.7'!A1" display="1_7" xr:uid="{00000000-0004-0000-0000-00000C000000}"/>
    <hyperlink ref="B8" location="'1.7'!A1" display="Promedio del monto de la deuda en miles de pesos, por rango etario" xr:uid="{00000000-0004-0000-0000-00000D000000}"/>
    <hyperlink ref="A9" location="'1.8.1 datos por departamento'!A1" display="1_8_1" xr:uid="{00000000-0004-0000-0000-00000E000000}"/>
    <hyperlink ref="B9" location="'1.8.1 datos por departamento'!A1" display="Cantidad de deudores unicos total y en mora por departamento. " xr:uid="{00000000-0004-0000-0000-00000F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1" sqref="C1"/>
    </sheetView>
  </sheetViews>
  <sheetFormatPr baseColWidth="10" defaultColWidth="12.5703125" defaultRowHeight="15.75" customHeight="1" x14ac:dyDescent="0.2"/>
  <cols>
    <col min="1" max="1" width="29" customWidth="1"/>
    <col min="2" max="2" width="14.42578125" customWidth="1"/>
    <col min="3" max="3" width="34.85546875" customWidth="1"/>
  </cols>
  <sheetData>
    <row r="1" spans="1:26" x14ac:dyDescent="0.2">
      <c r="A1" s="1" t="s">
        <v>1</v>
      </c>
      <c r="B1" s="1" t="s">
        <v>8</v>
      </c>
      <c r="C1" s="1" t="s">
        <v>13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" t="s">
        <v>23</v>
      </c>
      <c r="B2" s="3">
        <v>286628</v>
      </c>
      <c r="C2" s="3">
        <v>1069536579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1" t="s">
        <v>26</v>
      </c>
      <c r="B3" s="3">
        <v>68176</v>
      </c>
      <c r="C3" s="3">
        <v>162528608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1" t="s">
        <v>28</v>
      </c>
      <c r="B4" s="8">
        <f t="shared" ref="B4:C4" si="0">B3/B2</f>
        <v>0.23785533862707062</v>
      </c>
      <c r="C4" s="8">
        <f t="shared" si="0"/>
        <v>0.15196171051200671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2"/>
      <c r="B5" s="2"/>
      <c r="C5" s="2"/>
      <c r="D5" s="2"/>
      <c r="E5" s="2"/>
      <c r="F5" s="9"/>
      <c r="G5" s="1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2" t="s">
        <v>36</v>
      </c>
      <c r="B6" s="2"/>
      <c r="C6" s="2"/>
      <c r="D6" s="2"/>
      <c r="E6" s="2"/>
      <c r="F6" s="2"/>
      <c r="G6" s="2"/>
      <c r="H6" s="9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9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 t="s">
        <v>42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11"/>
      <c r="C12" s="1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11"/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11"/>
      <c r="C15" s="1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"/>
  <sheetViews>
    <sheetView topLeftCell="B1" workbookViewId="0">
      <selection activeCell="E1" sqref="E1"/>
    </sheetView>
  </sheetViews>
  <sheetFormatPr baseColWidth="10" defaultColWidth="12.5703125" defaultRowHeight="15.75" customHeight="1" x14ac:dyDescent="0.2"/>
  <cols>
    <col min="1" max="1" width="34.7109375" customWidth="1"/>
    <col min="2" max="2" width="19.140625" customWidth="1"/>
    <col min="3" max="3" width="35.28515625" customWidth="1"/>
    <col min="4" max="4" width="21.42578125" customWidth="1"/>
    <col min="5" max="5" width="37.42578125" customWidth="1"/>
  </cols>
  <sheetData>
    <row r="1" spans="1:5" x14ac:dyDescent="0.2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2">
      <c r="A2" s="1" t="s">
        <v>7</v>
      </c>
      <c r="B2" s="3">
        <v>187746</v>
      </c>
      <c r="C2" s="3">
        <v>752911950</v>
      </c>
      <c r="D2" s="3">
        <v>19112</v>
      </c>
      <c r="E2" s="3">
        <v>81219410</v>
      </c>
    </row>
    <row r="3" spans="1:5" x14ac:dyDescent="0.2">
      <c r="A3" s="1" t="s">
        <v>15</v>
      </c>
      <c r="B3" s="3">
        <v>44941</v>
      </c>
      <c r="C3" s="3">
        <v>70689665</v>
      </c>
      <c r="D3" s="3">
        <v>6077</v>
      </c>
      <c r="E3" s="3">
        <v>7414202</v>
      </c>
    </row>
    <row r="4" spans="1:5" x14ac:dyDescent="0.2">
      <c r="A4" s="1" t="s">
        <v>18</v>
      </c>
      <c r="B4" s="3">
        <v>52701</v>
      </c>
      <c r="C4" s="3">
        <v>84632133</v>
      </c>
      <c r="D4" s="3">
        <v>26154</v>
      </c>
      <c r="E4" s="3">
        <v>33244587</v>
      </c>
    </row>
    <row r="5" spans="1:5" x14ac:dyDescent="0.2">
      <c r="A5" s="1" t="s">
        <v>20</v>
      </c>
      <c r="B5" s="3">
        <v>154542</v>
      </c>
      <c r="C5" s="3">
        <v>161302831</v>
      </c>
      <c r="D5" s="3">
        <v>38594</v>
      </c>
      <c r="E5" s="3">
        <v>40650409</v>
      </c>
    </row>
    <row r="7" spans="1:5" x14ac:dyDescent="0.2">
      <c r="C7" s="5"/>
      <c r="E7" s="5"/>
    </row>
    <row r="8" spans="1:5" x14ac:dyDescent="0.2">
      <c r="C8" s="5"/>
    </row>
    <row r="9" spans="1:5" x14ac:dyDescent="0.2">
      <c r="C9" s="5"/>
    </row>
    <row r="10" spans="1:5" x14ac:dyDescent="0.2">
      <c r="C1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3"/>
  <sheetViews>
    <sheetView topLeftCell="B1" workbookViewId="0">
      <selection activeCell="G1" sqref="G1"/>
    </sheetView>
  </sheetViews>
  <sheetFormatPr baseColWidth="10" defaultColWidth="12.5703125" defaultRowHeight="15.75" customHeight="1" x14ac:dyDescent="0.2"/>
  <cols>
    <col min="1" max="1" width="19.7109375" customWidth="1"/>
    <col min="3" max="3" width="18.85546875" customWidth="1"/>
    <col min="4" max="4" width="30.5703125" customWidth="1"/>
    <col min="5" max="5" width="19" customWidth="1"/>
    <col min="6" max="6" width="33.5703125" customWidth="1"/>
  </cols>
  <sheetData>
    <row r="1" spans="1:6" x14ac:dyDescent="0.2">
      <c r="A1" s="1" t="s">
        <v>9</v>
      </c>
      <c r="B1" s="1" t="s">
        <v>10</v>
      </c>
      <c r="C1" s="1" t="s">
        <v>11</v>
      </c>
      <c r="D1" s="1" t="s">
        <v>12</v>
      </c>
      <c r="E1" s="1" t="s">
        <v>14</v>
      </c>
      <c r="F1" s="1" t="s">
        <v>16</v>
      </c>
    </row>
    <row r="2" spans="1:6" x14ac:dyDescent="0.2">
      <c r="A2" s="1" t="s">
        <v>17</v>
      </c>
      <c r="B2" s="4" t="s">
        <v>19</v>
      </c>
      <c r="C2" s="3">
        <v>8851</v>
      </c>
      <c r="D2" s="3">
        <v>6413710</v>
      </c>
      <c r="E2" s="3">
        <v>3036</v>
      </c>
      <c r="F2" s="3">
        <v>2105291</v>
      </c>
    </row>
    <row r="3" spans="1:6" x14ac:dyDescent="0.2">
      <c r="A3" s="1" t="s">
        <v>17</v>
      </c>
      <c r="B3" s="4" t="s">
        <v>22</v>
      </c>
      <c r="C3" s="3">
        <v>9293</v>
      </c>
      <c r="D3" s="3">
        <v>10385405</v>
      </c>
      <c r="E3" s="3">
        <v>3183</v>
      </c>
      <c r="F3" s="3">
        <v>3198138</v>
      </c>
    </row>
    <row r="4" spans="1:6" x14ac:dyDescent="0.2">
      <c r="A4" s="1" t="s">
        <v>24</v>
      </c>
      <c r="B4" s="4" t="s">
        <v>19</v>
      </c>
      <c r="C4" s="3">
        <v>31335</v>
      </c>
      <c r="D4" s="3">
        <v>62567946</v>
      </c>
      <c r="E4" s="3">
        <v>9175</v>
      </c>
      <c r="F4" s="3">
        <v>14331942</v>
      </c>
    </row>
    <row r="5" spans="1:6" x14ac:dyDescent="0.2">
      <c r="A5" s="1" t="s">
        <v>24</v>
      </c>
      <c r="B5" s="4" t="s">
        <v>22</v>
      </c>
      <c r="C5" s="3">
        <v>30693</v>
      </c>
      <c r="D5" s="3">
        <v>88459419</v>
      </c>
      <c r="E5" s="3">
        <v>10092</v>
      </c>
      <c r="F5" s="3">
        <v>21724416</v>
      </c>
    </row>
    <row r="6" spans="1:6" x14ac:dyDescent="0.2">
      <c r="A6" s="1" t="s">
        <v>25</v>
      </c>
      <c r="B6" s="4" t="s">
        <v>19</v>
      </c>
      <c r="C6" s="3">
        <v>32584</v>
      </c>
      <c r="D6" s="3">
        <v>118440323</v>
      </c>
      <c r="E6" s="3">
        <v>8140</v>
      </c>
      <c r="F6" s="3">
        <v>18231552</v>
      </c>
    </row>
    <row r="7" spans="1:6" x14ac:dyDescent="0.2">
      <c r="A7" s="1" t="s">
        <v>25</v>
      </c>
      <c r="B7" s="4" t="s">
        <v>22</v>
      </c>
      <c r="C7" s="3">
        <v>33077</v>
      </c>
      <c r="D7" s="3">
        <v>166557001</v>
      </c>
      <c r="E7" s="3">
        <v>9417</v>
      </c>
      <c r="F7" s="3">
        <v>31910120</v>
      </c>
    </row>
    <row r="8" spans="1:6" x14ac:dyDescent="0.2">
      <c r="A8" s="1" t="s">
        <v>27</v>
      </c>
      <c r="B8" s="4" t="s">
        <v>19</v>
      </c>
      <c r="C8" s="3">
        <v>29464</v>
      </c>
      <c r="D8" s="3">
        <v>125708541</v>
      </c>
      <c r="E8" s="3">
        <v>6070</v>
      </c>
      <c r="F8" s="3">
        <v>14423683</v>
      </c>
    </row>
    <row r="9" spans="1:6" x14ac:dyDescent="0.2">
      <c r="A9" s="1" t="s">
        <v>27</v>
      </c>
      <c r="B9" s="4" t="s">
        <v>22</v>
      </c>
      <c r="C9" s="3">
        <v>28773</v>
      </c>
      <c r="D9" s="3">
        <v>159935892</v>
      </c>
      <c r="E9" s="3">
        <v>6674</v>
      </c>
      <c r="F9" s="3">
        <v>21196049</v>
      </c>
    </row>
    <row r="10" spans="1:6" x14ac:dyDescent="0.2">
      <c r="A10" s="1" t="s">
        <v>29</v>
      </c>
      <c r="B10" s="4" t="s">
        <v>19</v>
      </c>
      <c r="C10" s="3">
        <v>20958</v>
      </c>
      <c r="D10" s="3">
        <v>85706385</v>
      </c>
      <c r="E10" s="3">
        <v>3545</v>
      </c>
      <c r="F10" s="3">
        <v>9817486</v>
      </c>
    </row>
    <row r="11" spans="1:6" x14ac:dyDescent="0.2">
      <c r="A11" s="1" t="s">
        <v>29</v>
      </c>
      <c r="B11" s="4" t="s">
        <v>22</v>
      </c>
      <c r="C11" s="3">
        <v>17438</v>
      </c>
      <c r="D11" s="3">
        <v>103973950</v>
      </c>
      <c r="E11" s="3">
        <v>3035</v>
      </c>
      <c r="F11" s="3">
        <v>11180021</v>
      </c>
    </row>
    <row r="12" spans="1:6" x14ac:dyDescent="0.2">
      <c r="A12" s="1" t="s">
        <v>31</v>
      </c>
      <c r="B12" s="4" t="s">
        <v>19</v>
      </c>
      <c r="C12" s="3">
        <v>24519</v>
      </c>
      <c r="D12" s="3">
        <v>69798862</v>
      </c>
      <c r="E12" s="3">
        <v>3276</v>
      </c>
      <c r="F12" s="3">
        <v>7708010</v>
      </c>
    </row>
    <row r="13" spans="1:6" x14ac:dyDescent="0.2">
      <c r="A13" s="1" t="s">
        <v>31</v>
      </c>
      <c r="B13" s="4" t="s">
        <v>22</v>
      </c>
      <c r="C13" s="3">
        <v>19130</v>
      </c>
      <c r="D13" s="3">
        <v>68242102</v>
      </c>
      <c r="E13" s="3">
        <v>2476</v>
      </c>
      <c r="F13" s="3">
        <v>6472298</v>
      </c>
    </row>
    <row r="20" spans="1:1" x14ac:dyDescent="0.2">
      <c r="A20" s="7"/>
    </row>
    <row r="21" spans="1:1" x14ac:dyDescent="0.2">
      <c r="A21" s="7"/>
    </row>
    <row r="22" spans="1:1" x14ac:dyDescent="0.2">
      <c r="A22" s="7"/>
    </row>
    <row r="23" spans="1:1" x14ac:dyDescent="0.2">
      <c r="A23" s="7"/>
    </row>
    <row r="24" spans="1:1" x14ac:dyDescent="0.2">
      <c r="A24" s="7"/>
    </row>
    <row r="25" spans="1:1" x14ac:dyDescent="0.2">
      <c r="A25" s="7"/>
    </row>
    <row r="26" spans="1:1" x14ac:dyDescent="0.2">
      <c r="A26" s="7"/>
    </row>
    <row r="27" spans="1:1" x14ac:dyDescent="0.2">
      <c r="A27" s="7"/>
    </row>
    <row r="28" spans="1:1" x14ac:dyDescent="0.2">
      <c r="A28" s="7"/>
    </row>
    <row r="29" spans="1:1" x14ac:dyDescent="0.2">
      <c r="A29" s="7"/>
    </row>
    <row r="30" spans="1:1" x14ac:dyDescent="0.2">
      <c r="A30" s="7"/>
    </row>
    <row r="31" spans="1:1" x14ac:dyDescent="0.2">
      <c r="A31" s="7"/>
    </row>
    <row r="32" spans="1:1" x14ac:dyDescent="0.2">
      <c r="A32" s="7"/>
    </row>
    <row r="33" spans="1:1" x14ac:dyDescent="0.2">
      <c r="A3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7"/>
  <sheetViews>
    <sheetView workbookViewId="0"/>
  </sheetViews>
  <sheetFormatPr baseColWidth="10" defaultColWidth="12.5703125" defaultRowHeight="15.75" customHeight="1" x14ac:dyDescent="0.2"/>
  <cols>
    <col min="1" max="1" width="35.42578125" customWidth="1"/>
    <col min="2" max="2" width="14.42578125" customWidth="1"/>
  </cols>
  <sheetData>
    <row r="1" spans="1:3" x14ac:dyDescent="0.2">
      <c r="A1" s="1" t="s">
        <v>46</v>
      </c>
      <c r="B1" s="1" t="s">
        <v>8</v>
      </c>
      <c r="C1" s="1" t="s">
        <v>47</v>
      </c>
    </row>
    <row r="2" spans="1:3" x14ac:dyDescent="0.2">
      <c r="A2" s="1" t="s">
        <v>48</v>
      </c>
      <c r="B2" s="3">
        <v>239944</v>
      </c>
      <c r="C2" s="3">
        <v>863469184</v>
      </c>
    </row>
    <row r="3" spans="1:3" x14ac:dyDescent="0.2">
      <c r="A3" s="1" t="s">
        <v>51</v>
      </c>
      <c r="B3" s="3">
        <v>15576</v>
      </c>
      <c r="C3" s="3">
        <v>43347862</v>
      </c>
    </row>
    <row r="4" spans="1:3" x14ac:dyDescent="0.2">
      <c r="A4" s="1" t="s">
        <v>53</v>
      </c>
      <c r="B4" s="3">
        <v>17304</v>
      </c>
      <c r="C4" s="3">
        <v>42520306</v>
      </c>
    </row>
    <row r="5" spans="1:3" x14ac:dyDescent="0.2">
      <c r="A5" s="1" t="s">
        <v>54</v>
      </c>
      <c r="B5" s="3">
        <v>28043</v>
      </c>
      <c r="C5" s="3">
        <v>67894404</v>
      </c>
    </row>
    <row r="6" spans="1:3" x14ac:dyDescent="0.2">
      <c r="A6" s="1" t="s">
        <v>56</v>
      </c>
      <c r="B6" s="3">
        <v>37684</v>
      </c>
      <c r="C6" s="3">
        <v>52113898</v>
      </c>
    </row>
    <row r="7" spans="1:3" x14ac:dyDescent="0.2">
      <c r="A7" s="1" t="s">
        <v>58</v>
      </c>
      <c r="B7" s="3">
        <v>39</v>
      </c>
      <c r="C7" s="3">
        <v>190925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38"/>
  <sheetViews>
    <sheetView topLeftCell="A13" workbookViewId="0"/>
  </sheetViews>
  <sheetFormatPr baseColWidth="10" defaultColWidth="12.5703125" defaultRowHeight="15.75" customHeight="1" x14ac:dyDescent="0.2"/>
  <cols>
    <col min="1" max="1" width="32" customWidth="1"/>
    <col min="2" max="2" width="13.42578125" customWidth="1"/>
    <col min="3" max="3" width="29.140625" customWidth="1"/>
  </cols>
  <sheetData>
    <row r="1" spans="1:3" x14ac:dyDescent="0.2">
      <c r="A1" s="2" t="s">
        <v>49</v>
      </c>
      <c r="B1" s="2" t="s">
        <v>8</v>
      </c>
      <c r="C1" s="2" t="s">
        <v>50</v>
      </c>
    </row>
    <row r="2" spans="1:3" x14ac:dyDescent="0.2">
      <c r="A2" s="2"/>
      <c r="B2" s="2"/>
      <c r="C2" s="2"/>
    </row>
    <row r="3" spans="1:3" x14ac:dyDescent="0.2">
      <c r="A3" s="1" t="s">
        <v>52</v>
      </c>
      <c r="B3" s="3">
        <v>168346</v>
      </c>
      <c r="C3" s="3">
        <v>642032966</v>
      </c>
    </row>
    <row r="4" spans="1:3" x14ac:dyDescent="0.2">
      <c r="A4" s="1" t="s">
        <v>55</v>
      </c>
      <c r="B4" s="3">
        <v>36662</v>
      </c>
      <c r="C4" s="3">
        <v>58430377</v>
      </c>
    </row>
    <row r="5" spans="1:3" x14ac:dyDescent="0.2">
      <c r="A5" s="1" t="s">
        <v>57</v>
      </c>
      <c r="B5" s="3">
        <v>28075</v>
      </c>
      <c r="C5" s="3">
        <v>48375104</v>
      </c>
    </row>
    <row r="6" spans="1:3" x14ac:dyDescent="0.2">
      <c r="A6" s="1" t="s">
        <v>59</v>
      </c>
      <c r="B6" s="3">
        <v>115520</v>
      </c>
      <c r="C6" s="3">
        <v>114630737</v>
      </c>
    </row>
    <row r="7" spans="1:3" x14ac:dyDescent="0.2">
      <c r="A7" s="2"/>
      <c r="B7" s="2"/>
      <c r="C7" s="2"/>
    </row>
    <row r="8" spans="1:3" x14ac:dyDescent="0.2">
      <c r="A8" s="2" t="s">
        <v>60</v>
      </c>
      <c r="B8" s="2" t="s">
        <v>8</v>
      </c>
      <c r="C8" s="2" t="s">
        <v>50</v>
      </c>
    </row>
    <row r="9" spans="1:3" x14ac:dyDescent="0.2">
      <c r="A9" s="2"/>
      <c r="B9" s="2"/>
      <c r="C9" s="2"/>
    </row>
    <row r="10" spans="1:3" x14ac:dyDescent="0.2">
      <c r="A10" s="1" t="s">
        <v>52</v>
      </c>
      <c r="B10" s="3">
        <v>5788</v>
      </c>
      <c r="C10" s="3">
        <v>29468649</v>
      </c>
    </row>
    <row r="11" spans="1:3" x14ac:dyDescent="0.2">
      <c r="A11" s="1" t="s">
        <v>61</v>
      </c>
      <c r="B11" s="3">
        <v>2231</v>
      </c>
      <c r="C11" s="3">
        <v>4845086</v>
      </c>
    </row>
    <row r="12" spans="1:3" x14ac:dyDescent="0.2">
      <c r="A12" s="1" t="s">
        <v>57</v>
      </c>
      <c r="B12" s="3">
        <v>2874</v>
      </c>
      <c r="C12" s="3">
        <v>3012442</v>
      </c>
    </row>
    <row r="13" spans="1:3" x14ac:dyDescent="0.2">
      <c r="A13" s="1" t="s">
        <v>59</v>
      </c>
      <c r="B13" s="3">
        <v>6177</v>
      </c>
      <c r="C13" s="3">
        <v>6021685</v>
      </c>
    </row>
    <row r="14" spans="1:3" x14ac:dyDescent="0.2">
      <c r="A14" s="2"/>
      <c r="B14" s="2"/>
      <c r="C14" s="2"/>
    </row>
    <row r="15" spans="1:3" x14ac:dyDescent="0.2">
      <c r="A15" s="2" t="s">
        <v>62</v>
      </c>
      <c r="B15" s="2" t="s">
        <v>8</v>
      </c>
      <c r="C15" s="2" t="s">
        <v>50</v>
      </c>
    </row>
    <row r="16" spans="1:3" x14ac:dyDescent="0.2">
      <c r="A16" s="2"/>
      <c r="B16" s="2"/>
      <c r="C16" s="2"/>
    </row>
    <row r="17" spans="1:3" x14ac:dyDescent="0.2">
      <c r="A17" s="1" t="s">
        <v>52</v>
      </c>
      <c r="B17" s="3">
        <v>6670</v>
      </c>
      <c r="C17" s="3">
        <v>27559108</v>
      </c>
    </row>
    <row r="18" spans="1:3" x14ac:dyDescent="0.2">
      <c r="A18" s="1" t="s">
        <v>55</v>
      </c>
      <c r="B18" s="3">
        <v>2263</v>
      </c>
      <c r="C18" s="3">
        <v>2700379</v>
      </c>
    </row>
    <row r="19" spans="1:3" x14ac:dyDescent="0.2">
      <c r="A19" s="1" t="s">
        <v>57</v>
      </c>
      <c r="B19" s="3">
        <v>3917</v>
      </c>
      <c r="C19" s="3">
        <v>4896274</v>
      </c>
    </row>
    <row r="20" spans="1:3" x14ac:dyDescent="0.2">
      <c r="A20" s="1" t="s">
        <v>59</v>
      </c>
      <c r="B20" s="3">
        <v>6880</v>
      </c>
      <c r="C20" s="3">
        <v>7364545</v>
      </c>
    </row>
    <row r="21" spans="1:3" x14ac:dyDescent="0.2">
      <c r="A21" s="2"/>
      <c r="B21" s="2"/>
      <c r="C21" s="2"/>
    </row>
    <row r="22" spans="1:3" x14ac:dyDescent="0.2">
      <c r="A22" s="2" t="s">
        <v>63</v>
      </c>
      <c r="B22" s="2" t="s">
        <v>8</v>
      </c>
      <c r="C22" s="2" t="s">
        <v>50</v>
      </c>
    </row>
    <row r="23" spans="1:3" x14ac:dyDescent="0.2">
      <c r="A23" s="2"/>
      <c r="B23" s="2"/>
      <c r="C23" s="2"/>
    </row>
    <row r="24" spans="1:3" x14ac:dyDescent="0.2">
      <c r="A24" s="1" t="s">
        <v>52</v>
      </c>
      <c r="B24" s="3">
        <v>10760</v>
      </c>
      <c r="C24" s="3">
        <v>40536890</v>
      </c>
    </row>
    <row r="25" spans="1:3" x14ac:dyDescent="0.2">
      <c r="A25" s="1" t="s">
        <v>61</v>
      </c>
      <c r="B25" s="3">
        <v>3694</v>
      </c>
      <c r="C25" s="3">
        <v>4442881</v>
      </c>
    </row>
    <row r="26" spans="1:3" x14ac:dyDescent="0.2">
      <c r="A26" s="1" t="s">
        <v>57</v>
      </c>
      <c r="B26" s="3">
        <v>7412</v>
      </c>
      <c r="C26" s="3">
        <v>11094808</v>
      </c>
    </row>
    <row r="27" spans="1:3" x14ac:dyDescent="0.2">
      <c r="A27" s="1" t="s">
        <v>59</v>
      </c>
      <c r="B27" s="3">
        <v>12227</v>
      </c>
      <c r="C27" s="3">
        <v>11819825</v>
      </c>
    </row>
    <row r="28" spans="1:3" x14ac:dyDescent="0.2">
      <c r="A28" s="2"/>
      <c r="B28" s="2"/>
      <c r="C28" s="2"/>
    </row>
    <row r="29" spans="1:3" x14ac:dyDescent="0.2">
      <c r="A29" s="2" t="s">
        <v>64</v>
      </c>
      <c r="B29" s="2" t="s">
        <v>8</v>
      </c>
      <c r="C29" s="2" t="s">
        <v>50</v>
      </c>
    </row>
    <row r="30" spans="1:3" x14ac:dyDescent="0.2">
      <c r="A30" s="2"/>
      <c r="B30" s="2"/>
      <c r="C30" s="2"/>
    </row>
    <row r="31" spans="1:3" x14ac:dyDescent="0.2">
      <c r="A31" s="1" t="s">
        <v>52</v>
      </c>
      <c r="B31" s="3">
        <v>3442</v>
      </c>
      <c r="C31" s="3">
        <v>13123412</v>
      </c>
    </row>
    <row r="32" spans="1:3" x14ac:dyDescent="0.2">
      <c r="A32" s="1" t="s">
        <v>61</v>
      </c>
      <c r="B32" s="3">
        <v>123</v>
      </c>
      <c r="C32" s="3">
        <v>270942</v>
      </c>
    </row>
    <row r="33" spans="1:3" x14ac:dyDescent="0.2">
      <c r="A33" s="1" t="s">
        <v>57</v>
      </c>
      <c r="B33" s="3">
        <v>16742</v>
      </c>
      <c r="C33" s="3">
        <v>17253505</v>
      </c>
    </row>
    <row r="34" spans="1:3" x14ac:dyDescent="0.2">
      <c r="A34" s="1" t="s">
        <v>59</v>
      </c>
      <c r="B34" s="3">
        <v>22618</v>
      </c>
      <c r="C34" s="3">
        <v>21466039</v>
      </c>
    </row>
    <row r="35" spans="1:3" x14ac:dyDescent="0.2">
      <c r="A35" s="2"/>
      <c r="B35" s="2"/>
      <c r="C35" s="2"/>
    </row>
    <row r="36" spans="1:3" x14ac:dyDescent="0.2">
      <c r="A36" s="2" t="s">
        <v>65</v>
      </c>
      <c r="B36" s="2" t="s">
        <v>8</v>
      </c>
      <c r="C36" s="2" t="s">
        <v>50</v>
      </c>
    </row>
    <row r="37" spans="1:3" x14ac:dyDescent="0.2">
      <c r="A37" s="2"/>
      <c r="B37" s="2"/>
      <c r="C37" s="2"/>
    </row>
    <row r="38" spans="1:3" x14ac:dyDescent="0.2">
      <c r="A38" s="1" t="s">
        <v>52</v>
      </c>
      <c r="B38" s="13">
        <v>39</v>
      </c>
      <c r="C38" s="3">
        <v>190925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31"/>
  <sheetViews>
    <sheetView workbookViewId="0">
      <selection activeCell="D1" sqref="D1"/>
    </sheetView>
  </sheetViews>
  <sheetFormatPr baseColWidth="10" defaultColWidth="12.5703125" defaultRowHeight="15.75" customHeight="1" x14ac:dyDescent="0.2"/>
  <cols>
    <col min="3" max="3" width="40.5703125" customWidth="1"/>
    <col min="4" max="4" width="44" customWidth="1"/>
  </cols>
  <sheetData>
    <row r="1" spans="1:4" x14ac:dyDescent="0.2">
      <c r="A1" s="1" t="s">
        <v>66</v>
      </c>
      <c r="B1" s="1" t="s">
        <v>67</v>
      </c>
      <c r="C1" s="1" t="s">
        <v>68</v>
      </c>
      <c r="D1" s="1" t="s">
        <v>69</v>
      </c>
    </row>
    <row r="2" spans="1:4" x14ac:dyDescent="0.2">
      <c r="A2" s="14" t="s">
        <v>17</v>
      </c>
      <c r="B2" s="14" t="s">
        <v>19</v>
      </c>
      <c r="C2" s="15">
        <v>519.74959999999999</v>
      </c>
      <c r="D2" s="15">
        <v>550.25900000000001</v>
      </c>
    </row>
    <row r="3" spans="1:4" x14ac:dyDescent="0.2">
      <c r="A3" s="14" t="s">
        <v>17</v>
      </c>
      <c r="B3" s="14" t="s">
        <v>22</v>
      </c>
      <c r="C3" s="15">
        <v>768.32169999999996</v>
      </c>
      <c r="D3" s="15">
        <v>758.57159999999999</v>
      </c>
    </row>
    <row r="4" spans="1:4" x14ac:dyDescent="0.2">
      <c r="A4" s="14" t="s">
        <v>24</v>
      </c>
      <c r="B4" s="14" t="s">
        <v>19</v>
      </c>
      <c r="C4" s="15">
        <v>1155.883</v>
      </c>
      <c r="D4" s="15">
        <v>1055.9156</v>
      </c>
    </row>
    <row r="5" spans="1:4" x14ac:dyDescent="0.2">
      <c r="A5" s="14" t="s">
        <v>24</v>
      </c>
      <c r="B5" s="14" t="s">
        <v>22</v>
      </c>
      <c r="C5" s="15">
        <v>1587.9408000000001</v>
      </c>
      <c r="D5" s="15">
        <v>1372.444</v>
      </c>
    </row>
    <row r="6" spans="1:4" x14ac:dyDescent="0.2">
      <c r="A6" s="14" t="s">
        <v>25</v>
      </c>
      <c r="B6" s="14" t="s">
        <v>19</v>
      </c>
      <c r="C6" s="15">
        <v>1900.1832999999999</v>
      </c>
      <c r="D6" s="15">
        <v>1389.7058999999999</v>
      </c>
    </row>
    <row r="7" spans="1:4" x14ac:dyDescent="0.2">
      <c r="A7" s="14" t="s">
        <v>25</v>
      </c>
      <c r="B7" s="14" t="s">
        <v>22</v>
      </c>
      <c r="C7" s="15">
        <v>2565.6125000000002</v>
      </c>
      <c r="D7" s="15">
        <v>2035.4736</v>
      </c>
    </row>
    <row r="8" spans="1:4" x14ac:dyDescent="0.2">
      <c r="A8" s="14" t="s">
        <v>27</v>
      </c>
      <c r="B8" s="14" t="s">
        <v>19</v>
      </c>
      <c r="C8" s="15">
        <v>2139.6106</v>
      </c>
      <c r="D8" s="15">
        <v>1435.6379999999999</v>
      </c>
    </row>
    <row r="9" spans="1:4" x14ac:dyDescent="0.2">
      <c r="A9" s="14" t="s">
        <v>27</v>
      </c>
      <c r="B9" s="14" t="s">
        <v>22</v>
      </c>
      <c r="C9" s="15">
        <v>2866.9025000000001</v>
      </c>
      <c r="D9" s="15">
        <v>1913.3462</v>
      </c>
    </row>
    <row r="10" spans="1:4" x14ac:dyDescent="0.2">
      <c r="A10" s="14" t="s">
        <v>29</v>
      </c>
      <c r="B10" s="14" t="s">
        <v>19</v>
      </c>
      <c r="C10" s="15">
        <v>2109.2802999999999</v>
      </c>
      <c r="D10" s="15">
        <v>1611.5373999999999</v>
      </c>
    </row>
    <row r="11" spans="1:4" x14ac:dyDescent="0.2">
      <c r="A11" s="14" t="s">
        <v>29</v>
      </c>
      <c r="B11" s="14" t="s">
        <v>22</v>
      </c>
      <c r="C11" s="15">
        <v>3150.1529999999998</v>
      </c>
      <c r="D11" s="15">
        <v>2232.4322999999999</v>
      </c>
    </row>
    <row r="12" spans="1:4" x14ac:dyDescent="0.2">
      <c r="A12" s="14" t="s">
        <v>31</v>
      </c>
      <c r="B12" s="14" t="s">
        <v>19</v>
      </c>
      <c r="C12" s="15">
        <v>1649.0777</v>
      </c>
      <c r="D12" s="15">
        <v>1417.4347</v>
      </c>
    </row>
    <row r="13" spans="1:4" x14ac:dyDescent="0.2">
      <c r="A13" s="14" t="s">
        <v>31</v>
      </c>
      <c r="B13" s="14" t="s">
        <v>22</v>
      </c>
      <c r="C13" s="15">
        <v>2217.4524999999999</v>
      </c>
      <c r="D13" s="15">
        <v>1632.7693999999999</v>
      </c>
    </row>
    <row r="18" spans="5:5" x14ac:dyDescent="0.2">
      <c r="E18" s="16"/>
    </row>
    <row r="19" spans="5:5" x14ac:dyDescent="0.2">
      <c r="E19" s="16"/>
    </row>
    <row r="20" spans="5:5" x14ac:dyDescent="0.2">
      <c r="E20" s="16"/>
    </row>
    <row r="21" spans="5:5" x14ac:dyDescent="0.2">
      <c r="E21" s="16"/>
    </row>
    <row r="22" spans="5:5" x14ac:dyDescent="0.2">
      <c r="E22" s="16"/>
    </row>
    <row r="23" spans="5:5" x14ac:dyDescent="0.2">
      <c r="E23" s="16"/>
    </row>
    <row r="24" spans="5:5" x14ac:dyDescent="0.2">
      <c r="E24" s="16"/>
    </row>
    <row r="25" spans="5:5" x14ac:dyDescent="0.2">
      <c r="E25" s="16"/>
    </row>
    <row r="26" spans="5:5" x14ac:dyDescent="0.2">
      <c r="E26" s="16"/>
    </row>
    <row r="27" spans="5:5" x14ac:dyDescent="0.2">
      <c r="E27" s="16"/>
    </row>
    <row r="28" spans="5:5" x14ac:dyDescent="0.2">
      <c r="E28" s="16"/>
    </row>
    <row r="29" spans="5:5" x14ac:dyDescent="0.2">
      <c r="E29" s="16"/>
    </row>
    <row r="30" spans="5:5" x14ac:dyDescent="0.2">
      <c r="E30" s="16"/>
    </row>
    <row r="31" spans="5:5" x14ac:dyDescent="0.2">
      <c r="E31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9"/>
  <sheetViews>
    <sheetView workbookViewId="0">
      <selection activeCell="C1" sqref="C1"/>
    </sheetView>
  </sheetViews>
  <sheetFormatPr baseColWidth="10" defaultColWidth="12.5703125" defaultRowHeight="15.75" customHeight="1" x14ac:dyDescent="0.2"/>
  <cols>
    <col min="1" max="1" width="13" customWidth="1"/>
    <col min="2" max="2" width="40.5703125" customWidth="1"/>
    <col min="3" max="3" width="44" customWidth="1"/>
  </cols>
  <sheetData>
    <row r="1" spans="1:3" x14ac:dyDescent="0.2">
      <c r="A1" s="1" t="s">
        <v>66</v>
      </c>
      <c r="B1" s="1" t="s">
        <v>68</v>
      </c>
      <c r="C1" s="1" t="s">
        <v>69</v>
      </c>
    </row>
    <row r="2" spans="1:3" x14ac:dyDescent="0.2">
      <c r="A2" s="14" t="s">
        <v>17</v>
      </c>
      <c r="B2" s="15">
        <v>649.69309999999996</v>
      </c>
      <c r="C2" s="15">
        <v>659.46640000000002</v>
      </c>
    </row>
    <row r="3" spans="1:3" x14ac:dyDescent="0.2">
      <c r="A3" s="14" t="s">
        <v>24</v>
      </c>
      <c r="B3" s="15">
        <v>1375.0314000000001</v>
      </c>
      <c r="C3" s="15">
        <v>1226.3233</v>
      </c>
    </row>
    <row r="4" spans="1:3" x14ac:dyDescent="0.2">
      <c r="A4" s="14" t="s">
        <v>25</v>
      </c>
      <c r="B4" s="15">
        <v>2239.7296000000001</v>
      </c>
      <c r="C4" s="15">
        <v>1741.2720999999999</v>
      </c>
    </row>
    <row r="5" spans="1:3" x14ac:dyDescent="0.2">
      <c r="A5" s="14" t="s">
        <v>27</v>
      </c>
      <c r="B5" s="15">
        <v>2493.8312000000001</v>
      </c>
      <c r="C5" s="15">
        <v>1686.221</v>
      </c>
    </row>
    <row r="6" spans="1:3" x14ac:dyDescent="0.2">
      <c r="A6" s="14" t="s">
        <v>29</v>
      </c>
      <c r="B6" s="15">
        <v>2575.8136</v>
      </c>
      <c r="C6" s="15">
        <v>1891.6673000000001</v>
      </c>
    </row>
    <row r="7" spans="1:3" x14ac:dyDescent="0.2">
      <c r="A7" s="14" t="s">
        <v>31</v>
      </c>
      <c r="B7" s="15">
        <v>1888.3594000000001</v>
      </c>
      <c r="C7" s="15">
        <v>1508.2225000000001</v>
      </c>
    </row>
    <row r="13" spans="1:3" x14ac:dyDescent="0.2">
      <c r="C13" s="16"/>
    </row>
    <row r="14" spans="1:3" x14ac:dyDescent="0.2">
      <c r="C14" s="16"/>
    </row>
    <row r="15" spans="1:3" x14ac:dyDescent="0.2">
      <c r="C15" s="16"/>
    </row>
    <row r="16" spans="1:3" x14ac:dyDescent="0.2">
      <c r="C16" s="16"/>
    </row>
    <row r="17" spans="3:3" x14ac:dyDescent="0.2">
      <c r="C17" s="16"/>
    </row>
    <row r="18" spans="3:3" x14ac:dyDescent="0.2">
      <c r="C18" s="16"/>
    </row>
    <row r="19" spans="3:3" x14ac:dyDescent="0.2">
      <c r="C1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X40"/>
  <sheetViews>
    <sheetView tabSelected="1" workbookViewId="0">
      <selection activeCell="E1" sqref="E1"/>
    </sheetView>
  </sheetViews>
  <sheetFormatPr baseColWidth="10" defaultColWidth="12.5703125" defaultRowHeight="15.75" customHeight="1" x14ac:dyDescent="0.2"/>
  <cols>
    <col min="1" max="1" width="16.28515625" customWidth="1"/>
    <col min="2" max="2" width="24.140625" customWidth="1"/>
    <col min="3" max="3" width="19.7109375" customWidth="1"/>
    <col min="4" max="5" width="26.5703125" customWidth="1"/>
  </cols>
  <sheetData>
    <row r="1" spans="1:24" x14ac:dyDescent="0.2">
      <c r="A1" s="17" t="s">
        <v>70</v>
      </c>
      <c r="B1" s="18" t="s">
        <v>90</v>
      </c>
      <c r="C1" s="19" t="s">
        <v>91</v>
      </c>
      <c r="D1" s="18" t="s">
        <v>5</v>
      </c>
      <c r="E1" s="19" t="s">
        <v>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4" t="s">
        <v>71</v>
      </c>
      <c r="B2" s="15">
        <v>121639</v>
      </c>
      <c r="C2" s="15">
        <v>470398520</v>
      </c>
      <c r="D2" s="15">
        <v>26964</v>
      </c>
      <c r="E2" s="20">
        <v>67611747</v>
      </c>
    </row>
    <row r="3" spans="1:24" x14ac:dyDescent="0.2">
      <c r="A3" s="4" t="s">
        <v>72</v>
      </c>
      <c r="B3" s="15">
        <v>35168</v>
      </c>
      <c r="C3" s="15">
        <v>142776507</v>
      </c>
      <c r="D3" s="15">
        <v>7888</v>
      </c>
      <c r="E3" s="20">
        <v>19227097</v>
      </c>
    </row>
    <row r="4" spans="1:24" x14ac:dyDescent="0.2">
      <c r="A4" s="4" t="s">
        <v>73</v>
      </c>
      <c r="B4" s="15">
        <v>35264</v>
      </c>
      <c r="C4" s="15">
        <v>118926327</v>
      </c>
      <c r="D4" s="15">
        <v>10688</v>
      </c>
      <c r="E4" s="20">
        <v>22299564</v>
      </c>
    </row>
    <row r="5" spans="1:24" x14ac:dyDescent="0.2">
      <c r="A5" s="4" t="s">
        <v>74</v>
      </c>
      <c r="B5" s="15">
        <v>29245</v>
      </c>
      <c r="C5" s="15">
        <v>107842778</v>
      </c>
      <c r="D5" s="15">
        <v>8197</v>
      </c>
      <c r="E5" s="20">
        <v>19476471</v>
      </c>
    </row>
    <row r="6" spans="1:24" x14ac:dyDescent="0.2">
      <c r="A6" s="4" t="s">
        <v>75</v>
      </c>
      <c r="B6" s="15">
        <v>30238</v>
      </c>
      <c r="C6" s="15">
        <v>100348487</v>
      </c>
      <c r="D6" s="15">
        <v>7341</v>
      </c>
      <c r="E6" s="20">
        <v>16647719</v>
      </c>
    </row>
    <row r="7" spans="1:24" x14ac:dyDescent="0.2">
      <c r="A7" s="4" t="s">
        <v>76</v>
      </c>
      <c r="B7" s="15">
        <v>8382</v>
      </c>
      <c r="C7" s="15">
        <v>25781095</v>
      </c>
      <c r="D7" s="15">
        <v>2543</v>
      </c>
      <c r="E7" s="20">
        <v>4875488</v>
      </c>
    </row>
    <row r="8" spans="1:24" x14ac:dyDescent="0.2">
      <c r="A8" s="4" t="s">
        <v>77</v>
      </c>
      <c r="B8" s="15">
        <v>5286</v>
      </c>
      <c r="C8" s="15">
        <v>18183344</v>
      </c>
      <c r="D8" s="15">
        <v>947</v>
      </c>
      <c r="E8" s="20">
        <v>1883069</v>
      </c>
    </row>
    <row r="9" spans="1:24" x14ac:dyDescent="0.2">
      <c r="A9" s="4" t="s">
        <v>78</v>
      </c>
      <c r="B9" s="15">
        <v>4882</v>
      </c>
      <c r="C9" s="15">
        <v>17078202</v>
      </c>
      <c r="D9" s="15">
        <v>820</v>
      </c>
      <c r="E9" s="20">
        <v>1741168</v>
      </c>
    </row>
    <row r="10" spans="1:24" x14ac:dyDescent="0.2">
      <c r="A10" s="4" t="s">
        <v>79</v>
      </c>
      <c r="B10" s="15">
        <v>5080</v>
      </c>
      <c r="C10" s="15">
        <v>24342177</v>
      </c>
      <c r="D10" s="15">
        <v>779</v>
      </c>
      <c r="E10" s="20">
        <v>3309212</v>
      </c>
    </row>
    <row r="11" spans="1:24" x14ac:dyDescent="0.2">
      <c r="A11" s="4" t="s">
        <v>80</v>
      </c>
      <c r="B11" s="15">
        <v>4736</v>
      </c>
      <c r="C11" s="15">
        <v>19577526</v>
      </c>
      <c r="D11" s="15">
        <v>645</v>
      </c>
      <c r="E11" s="20">
        <v>1871825</v>
      </c>
    </row>
    <row r="12" spans="1:24" x14ac:dyDescent="0.2">
      <c r="A12" s="4" t="s">
        <v>81</v>
      </c>
      <c r="B12" s="15">
        <v>2554</v>
      </c>
      <c r="C12" s="15">
        <v>8789288</v>
      </c>
      <c r="D12" s="15">
        <v>574</v>
      </c>
      <c r="E12" s="20">
        <v>1603000</v>
      </c>
    </row>
    <row r="13" spans="1:24" x14ac:dyDescent="0.2">
      <c r="A13" s="4" t="s">
        <v>82</v>
      </c>
      <c r="B13" s="15">
        <v>1130</v>
      </c>
      <c r="C13" s="15">
        <v>3711883</v>
      </c>
      <c r="D13" s="15">
        <v>218</v>
      </c>
      <c r="E13" s="20">
        <v>507629</v>
      </c>
    </row>
    <row r="14" spans="1:24" x14ac:dyDescent="0.2">
      <c r="A14" s="4" t="s">
        <v>83</v>
      </c>
      <c r="B14" s="14">
        <v>781</v>
      </c>
      <c r="C14" s="15">
        <v>2333271</v>
      </c>
      <c r="D14" s="15">
        <v>159</v>
      </c>
      <c r="E14" s="20">
        <v>292332</v>
      </c>
    </row>
    <row r="15" spans="1:24" x14ac:dyDescent="0.2">
      <c r="A15" s="4" t="s">
        <v>84</v>
      </c>
      <c r="B15" s="14">
        <v>145</v>
      </c>
      <c r="C15" s="15">
        <v>974745</v>
      </c>
      <c r="D15" s="15">
        <v>18</v>
      </c>
      <c r="E15" s="20">
        <v>65809</v>
      </c>
    </row>
    <row r="16" spans="1:24" x14ac:dyDescent="0.2">
      <c r="A16" s="4" t="s">
        <v>85</v>
      </c>
      <c r="B16" s="14">
        <v>177</v>
      </c>
      <c r="C16" s="15">
        <v>513344</v>
      </c>
      <c r="D16" s="15">
        <v>20</v>
      </c>
      <c r="E16" s="20">
        <v>22883</v>
      </c>
    </row>
    <row r="17" spans="1:5" x14ac:dyDescent="0.2">
      <c r="A17" s="4" t="s">
        <v>86</v>
      </c>
      <c r="B17" s="14">
        <v>539</v>
      </c>
      <c r="C17" s="15">
        <v>3525611</v>
      </c>
      <c r="D17" s="15">
        <v>96</v>
      </c>
      <c r="E17" s="20">
        <v>572719</v>
      </c>
    </row>
    <row r="18" spans="1:5" x14ac:dyDescent="0.2">
      <c r="A18" s="4" t="s">
        <v>87</v>
      </c>
      <c r="B18" s="3">
        <v>286628</v>
      </c>
      <c r="C18" s="20">
        <v>1069536579</v>
      </c>
      <c r="D18" s="3">
        <v>68176</v>
      </c>
      <c r="E18" s="15">
        <v>162528608</v>
      </c>
    </row>
    <row r="20" spans="1:5" x14ac:dyDescent="0.2">
      <c r="A20" s="7" t="s">
        <v>88</v>
      </c>
    </row>
    <row r="23" spans="1:5" x14ac:dyDescent="0.2">
      <c r="A23" s="21"/>
      <c r="B23" s="22"/>
      <c r="C23" s="22"/>
      <c r="D23" s="22"/>
      <c r="E23" s="22"/>
    </row>
    <row r="24" spans="1:5" x14ac:dyDescent="0.2">
      <c r="A24" s="2"/>
      <c r="B24" s="16"/>
      <c r="C24" s="23"/>
      <c r="D24" s="24"/>
      <c r="E24" s="23"/>
    </row>
    <row r="25" spans="1:5" x14ac:dyDescent="0.2">
      <c r="A25" s="2"/>
      <c r="B25" s="16"/>
      <c r="C25" s="23"/>
      <c r="D25" s="24"/>
      <c r="E25" s="23"/>
    </row>
    <row r="26" spans="1:5" x14ac:dyDescent="0.2">
      <c r="A26" s="2"/>
      <c r="B26" s="16"/>
      <c r="C26" s="23"/>
      <c r="D26" s="24"/>
      <c r="E26" s="23"/>
    </row>
    <row r="27" spans="1:5" x14ac:dyDescent="0.2">
      <c r="A27" s="2"/>
      <c r="B27" s="16"/>
      <c r="C27" s="23"/>
      <c r="D27" s="24"/>
      <c r="E27" s="23"/>
    </row>
    <row r="28" spans="1:5" x14ac:dyDescent="0.2">
      <c r="A28" s="2"/>
      <c r="B28" s="16"/>
      <c r="C28" s="23"/>
      <c r="D28" s="24"/>
      <c r="E28" s="23"/>
    </row>
    <row r="29" spans="1:5" x14ac:dyDescent="0.2">
      <c r="A29" s="2"/>
      <c r="B29" s="16"/>
      <c r="C29" s="23"/>
      <c r="D29" s="24"/>
      <c r="E29" s="23"/>
    </row>
    <row r="30" spans="1:5" x14ac:dyDescent="0.2">
      <c r="A30" s="2"/>
      <c r="B30" s="16"/>
      <c r="C30" s="23"/>
      <c r="D30" s="24"/>
      <c r="E30" s="23"/>
    </row>
    <row r="31" spans="1:5" x14ac:dyDescent="0.2">
      <c r="A31" s="2"/>
      <c r="B31" s="16"/>
      <c r="C31" s="23"/>
      <c r="D31" s="24"/>
      <c r="E31" s="23"/>
    </row>
    <row r="32" spans="1:5" x14ac:dyDescent="0.2">
      <c r="A32" s="2"/>
      <c r="B32" s="16"/>
      <c r="C32" s="23"/>
      <c r="D32" s="24"/>
      <c r="E32" s="23"/>
    </row>
    <row r="33" spans="1:5" x14ac:dyDescent="0.2">
      <c r="A33" s="2"/>
      <c r="B33" s="16"/>
      <c r="C33" s="23"/>
      <c r="D33" s="24"/>
      <c r="E33" s="23"/>
    </row>
    <row r="34" spans="1:5" x14ac:dyDescent="0.2">
      <c r="A34" s="2"/>
      <c r="B34" s="16"/>
      <c r="C34" s="23"/>
      <c r="D34" s="24"/>
      <c r="E34" s="23"/>
    </row>
    <row r="35" spans="1:5" x14ac:dyDescent="0.2">
      <c r="A35" s="2"/>
      <c r="B35" s="16"/>
      <c r="C35" s="23"/>
      <c r="D35" s="24"/>
      <c r="E35" s="23"/>
    </row>
    <row r="36" spans="1:5" x14ac:dyDescent="0.2">
      <c r="A36" s="2"/>
      <c r="B36" s="16"/>
      <c r="C36" s="23"/>
      <c r="D36" s="24"/>
      <c r="E36" s="23"/>
    </row>
    <row r="37" spans="1:5" x14ac:dyDescent="0.2">
      <c r="A37" s="2"/>
      <c r="B37" s="16"/>
      <c r="C37" s="23"/>
      <c r="D37" s="24"/>
      <c r="E37" s="23"/>
    </row>
    <row r="38" spans="1:5" x14ac:dyDescent="0.2">
      <c r="A38" s="2"/>
      <c r="B38" s="16"/>
      <c r="C38" s="23"/>
      <c r="D38" s="24"/>
      <c r="E38" s="23"/>
    </row>
    <row r="39" spans="1:5" x14ac:dyDescent="0.2">
      <c r="A39" s="2"/>
      <c r="B39" s="16"/>
      <c r="C39" s="23"/>
      <c r="D39" s="24"/>
      <c r="E39" s="23"/>
    </row>
    <row r="40" spans="1:5" x14ac:dyDescent="0.2">
      <c r="A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indice</vt:lpstr>
      <vt:lpstr>1.1</vt:lpstr>
      <vt:lpstr>1.2</vt:lpstr>
      <vt:lpstr>1.3</vt:lpstr>
      <vt:lpstr>1.4</vt:lpstr>
      <vt:lpstr>1.5</vt:lpstr>
      <vt:lpstr>1.6</vt:lpstr>
      <vt:lpstr>1.7</vt:lpstr>
      <vt:lpstr>1.8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UsuarioCP</cp:lastModifiedBy>
  <dcterms:modified xsi:type="dcterms:W3CDTF">2026-10-28T14:08:59Z</dcterms:modified>
</cp:coreProperties>
</file>