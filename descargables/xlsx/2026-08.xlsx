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Morosidad\Agosto\"/>
    </mc:Choice>
  </mc:AlternateContent>
  <xr:revisionPtr revIDLastSave="0" documentId="13_ncr:1_{C617261F-0FB8-401F-B6D5-0786228F7D7B}" xr6:coauthVersionLast="47" xr6:coauthVersionMax="47" xr10:uidLastSave="{00000000-0000-0000-0000-000000000000}"/>
  <bookViews>
    <workbookView xWindow="14295" yWindow="0" windowWidth="14610" windowHeight="15585" activeTab="8" xr2:uid="{00000000-000D-0000-FFFF-FFFF00000000}"/>
  </bookViews>
  <sheets>
    <sheet name="indice" sheetId="1" r:id="rId1"/>
    <sheet name="1.1" sheetId="2" r:id="rId2"/>
    <sheet name="1.2" sheetId="3" r:id="rId3"/>
    <sheet name="1.3" sheetId="4" r:id="rId4"/>
    <sheet name="1.4" sheetId="5" r:id="rId5"/>
    <sheet name="1.5" sheetId="6" r:id="rId6"/>
    <sheet name="1.6" sheetId="7" r:id="rId7"/>
    <sheet name="1.7" sheetId="8" r:id="rId8"/>
    <sheet name="1.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</calcChain>
</file>

<file path=xl/sharedStrings.xml><?xml version="1.0" encoding="utf-8"?>
<sst xmlns="http://schemas.openxmlformats.org/spreadsheetml/2006/main" count="173" uniqueCount="95">
  <si>
    <t>Indice</t>
  </si>
  <si>
    <t xml:space="preserve">Division por edad/sexo </t>
  </si>
  <si>
    <t xml:space="preserve">Deudores unicos por entidad y prestamos </t>
  </si>
  <si>
    <t>Jujuy</t>
  </si>
  <si>
    <t>Sexo</t>
  </si>
  <si>
    <t>deudores unicos, Total</t>
  </si>
  <si>
    <t>Deudores unicos</t>
  </si>
  <si>
    <t>Deudores unicos Total</t>
  </si>
  <si>
    <t>Monto de la deuda. Total en miles de pesos</t>
  </si>
  <si>
    <t>Monto total deuda, en miles de pesos</t>
  </si>
  <si>
    <t>Monto total de la deuda, en miles de pesos</t>
  </si>
  <si>
    <t>Deudores unicos en mora</t>
  </si>
  <si>
    <t>Deudores unicos mora</t>
  </si>
  <si>
    <t>Monto de la deuda en mora en miles de pesos</t>
  </si>
  <si>
    <t>Monto de deuda mora, en miles de pesos</t>
  </si>
  <si>
    <t>Bancos</t>
  </si>
  <si>
    <t>Hasta 25</t>
  </si>
  <si>
    <t>F</t>
  </si>
  <si>
    <t>1_1</t>
  </si>
  <si>
    <t>Deudores Totales</t>
  </si>
  <si>
    <t>M</t>
  </si>
  <si>
    <t>25-34</t>
  </si>
  <si>
    <t>Deudores en Mora</t>
  </si>
  <si>
    <t>35-44</t>
  </si>
  <si>
    <t>Tasa mora por deudores y monto</t>
  </si>
  <si>
    <t>45-54</t>
  </si>
  <si>
    <t>Deudores unicos y monto del prestamo en miles de pesos. Totales y en Mora.</t>
  </si>
  <si>
    <t xml:space="preserve">Compañia financiera </t>
  </si>
  <si>
    <t xml:space="preserve">PNFC- otro </t>
  </si>
  <si>
    <t>55-64</t>
  </si>
  <si>
    <t xml:space="preserve">PNFC- emisora no bancaria de tarjetas </t>
  </si>
  <si>
    <t>1_2</t>
  </si>
  <si>
    <t>65 o más</t>
  </si>
  <si>
    <t>Deudores unicos por tipo de entidad, y montos de prestamos en miles de pesos. Totales y en Mora.</t>
  </si>
  <si>
    <t>1_3</t>
  </si>
  <si>
    <t>Deudores y monto de la dueda en miles de pesos por rango etario y sexo. Totales y en Mora.</t>
  </si>
  <si>
    <t>1_4</t>
  </si>
  <si>
    <t>Mora: Personas en situaciona 3, 4 y 5</t>
  </si>
  <si>
    <t>Deudores unicos y monto de la deuda en miles de pesos por tipo de situacion.</t>
  </si>
  <si>
    <t>1_5</t>
  </si>
  <si>
    <t>Deudores unicos y monto de la deuda en miles de pesos por tipo de entidad en cada situacion crediticia</t>
  </si>
  <si>
    <t>1_6</t>
  </si>
  <si>
    <t>Promedio de monto de la deuda en miles de pesos, por rango etario y sexo.</t>
  </si>
  <si>
    <t xml:space="preserve">  </t>
  </si>
  <si>
    <r>
      <rPr>
        <u/>
        <sz val="10"/>
        <color rgb="FF1155CC"/>
        <rFont val="Arial"/>
        <family val="2"/>
      </rPr>
      <t>1_</t>
    </r>
    <r>
      <rPr>
        <sz val="10"/>
        <color rgb="FF1F1F1F"/>
        <rFont val="Arial"/>
        <family val="2"/>
      </rPr>
      <t>7</t>
    </r>
  </si>
  <si>
    <t>Promedio del monto de la deuda en miles de pesos, por rango etario</t>
  </si>
  <si>
    <t>Deudores por tipo de situacion</t>
  </si>
  <si>
    <t>Deuda total</t>
  </si>
  <si>
    <t>Situacion 1</t>
  </si>
  <si>
    <t>Situacion 2</t>
  </si>
  <si>
    <t>Situacion 3</t>
  </si>
  <si>
    <t>Situacion 4</t>
  </si>
  <si>
    <t>Situacion 5</t>
  </si>
  <si>
    <t>Situacion 11 (incluidas en total no en mora)</t>
  </si>
  <si>
    <t>Situacio1</t>
  </si>
  <si>
    <t>Monto de la deuda, en miles de pesos</t>
  </si>
  <si>
    <t>Banco</t>
  </si>
  <si>
    <t>Compañía financiera</t>
  </si>
  <si>
    <t>PNFC - otro</t>
  </si>
  <si>
    <t>PNFC - emisora no bancaria de tarjetas</t>
  </si>
  <si>
    <t>Situacio2</t>
  </si>
  <si>
    <t xml:space="preserve">Compañía financiera </t>
  </si>
  <si>
    <t>Situacio3</t>
  </si>
  <si>
    <t>Situacio4</t>
  </si>
  <si>
    <t>Situacio5</t>
  </si>
  <si>
    <t>Situacio11</t>
  </si>
  <si>
    <t>Rango de edad</t>
  </si>
  <si>
    <t>Genero</t>
  </si>
  <si>
    <t>Monto promedio de deuda total en miles de pesos</t>
  </si>
  <si>
    <t>Monto promedio de deuda en mora, en miles de pesos</t>
  </si>
  <si>
    <t>Departamento</t>
  </si>
  <si>
    <t>Dr. Manuel Belgrano</t>
  </si>
  <si>
    <t>El Carmen</t>
  </si>
  <si>
    <t>San Pedro</t>
  </si>
  <si>
    <t>Ledesma</t>
  </si>
  <si>
    <t>Palpalá</t>
  </si>
  <si>
    <t>Santa Bárbara</t>
  </si>
  <si>
    <t>Humahuaca</t>
  </si>
  <si>
    <t>Tilcara</t>
  </si>
  <si>
    <t>Cochinoca</t>
  </si>
  <si>
    <t>Yavi</t>
  </si>
  <si>
    <t>San Antonio</t>
  </si>
  <si>
    <t>Tumbaya</t>
  </si>
  <si>
    <t>Valle Grande</t>
  </si>
  <si>
    <t>Rinconada</t>
  </si>
  <si>
    <t>Santa Catalina</t>
  </si>
  <si>
    <t>Susques</t>
  </si>
  <si>
    <t>Jujuy (total)</t>
  </si>
  <si>
    <t>total Jujuy incluye deudores no geolocalizados por departamento</t>
  </si>
  <si>
    <t>Monto de la deuda en miles de pesos</t>
  </si>
  <si>
    <t>Datos correspondientes al mes de agosto 2026</t>
  </si>
  <si>
    <t>Deudores únicos</t>
  </si>
  <si>
    <t>Monto de la deuda en mora en miles de pesos.</t>
  </si>
  <si>
    <t>1_8</t>
  </si>
  <si>
    <t>Cantidad de deudores y monto de la deuda total y en mora por 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</si>
</sst>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color rgb="FF1F1F1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3" fillId="0" borderId="0" xfId="0" applyFont="1" applyAlignment="1"/>
    <xf numFmtId="4" fontId="4" fillId="0" borderId="0" xfId="0" applyNumberFormat="1" applyFont="1"/>
    <xf numFmtId="4" fontId="4" fillId="0" borderId="0" xfId="0" applyNumberFormat="1" applyFont="1" applyAlignment="1"/>
    <xf numFmtId="10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/>
    <xf numFmtId="4" fontId="1" fillId="0" borderId="0" xfId="0" applyNumberFormat="1" applyFont="1" applyAlignment="1"/>
    <xf numFmtId="0" fontId="1" fillId="0" borderId="0" xfId="0" applyFont="1" applyAlignment="1"/>
    <xf numFmtId="0" fontId="5" fillId="0" borderId="0" xfId="0" applyFont="1" applyAlignment="1"/>
    <xf numFmtId="0" fontId="4" fillId="0" borderId="1" xfId="0" applyFont="1" applyBorder="1" applyAlignment="1"/>
    <xf numFmtId="4" fontId="4" fillId="0" borderId="1" xfId="0" applyNumberFormat="1" applyFont="1" applyBorder="1" applyAlignment="1"/>
    <xf numFmtId="3" fontId="4" fillId="0" borderId="0" xfId="0" applyNumberFormat="1" applyFont="1" applyAlignment="1"/>
    <xf numFmtId="3" fontId="4" fillId="0" borderId="1" xfId="0" applyNumberFormat="1" applyFont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6" fillId="2" borderId="1" xfId="0" applyFont="1" applyFill="1" applyBorder="1" applyAlignment="1"/>
    <xf numFmtId="0" fontId="4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3" fontId="1" fillId="0" borderId="0" xfId="0" applyNumberFormat="1" applyFont="1" applyAlignment="1">
      <alignment horizontal="right"/>
    </xf>
    <xf numFmtId="10" fontId="4" fillId="0" borderId="0" xfId="0" applyNumberFormat="1" applyFont="1"/>
    <xf numFmtId="0" fontId="6" fillId="0" borderId="0" xfId="0" applyFont="1" applyFill="1" applyBorder="1" applyAlignment="1"/>
    <xf numFmtId="0" fontId="2" fillId="0" borderId="0" xfId="0" applyFont="1" applyFill="1" applyBorder="1" applyAlignment="1"/>
    <xf numFmtId="3" fontId="4" fillId="0" borderId="0" xfId="0" applyNumberFormat="1" applyFont="1" applyFill="1" applyBorder="1" applyAlignment="1"/>
    <xf numFmtId="3" fontId="1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0" fontId="9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D23" sqref="D23"/>
    </sheetView>
  </sheetViews>
  <sheetFormatPr baseColWidth="10" defaultColWidth="12.5703125" defaultRowHeight="15.75" customHeight="1" x14ac:dyDescent="0.2"/>
  <sheetData>
    <row r="1" spans="1:26" x14ac:dyDescent="0.2">
      <c r="A1" s="1" t="s">
        <v>0</v>
      </c>
      <c r="B1" s="1" t="s">
        <v>90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7" t="s">
        <v>18</v>
      </c>
      <c r="B2" s="7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7" t="s">
        <v>31</v>
      </c>
      <c r="B3" s="7" t="s">
        <v>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7" t="s">
        <v>34</v>
      </c>
      <c r="B4" s="7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7" t="s">
        <v>36</v>
      </c>
      <c r="B5" s="7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7" t="s">
        <v>39</v>
      </c>
      <c r="B6" s="7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7" t="s">
        <v>41</v>
      </c>
      <c r="B7" s="7" t="s">
        <v>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7" t="s">
        <v>44</v>
      </c>
      <c r="B8" s="7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2" t="s">
        <v>93</v>
      </c>
      <c r="B9" s="32" t="s">
        <v>94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4"/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ef="A2" location="'1.1'!A1" display="1_1" xr:uid="{00000000-0004-0000-0000-000000000000}"/>
    <hyperlink ref="B2" location="'1.1'!A1" display="Deudores unicos y monto del prestamo en miles de pesos. Totales y en Mora." xr:uid="{00000000-0004-0000-0000-000001000000}"/>
    <hyperlink ref="A3" location="'1.2'!A1" display="1_2" xr:uid="{00000000-0004-0000-0000-000002000000}"/>
    <hyperlink ref="B3" location="'1.2'!A1" display="Deudores unicos por tipo de entidad, y montos de prestamos en miles de pesos. Totales y en Mora." xr:uid="{00000000-0004-0000-0000-000003000000}"/>
    <hyperlink ref="A4" location="'1.3'!A1" display="1_3" xr:uid="{00000000-0004-0000-0000-000004000000}"/>
    <hyperlink ref="B4" location="'1.3'!A1" display="Deudores y monto de la dueda en miles de pesos por rango etario y sexo. Totales y en Mora." xr:uid="{00000000-0004-0000-0000-000005000000}"/>
    <hyperlink ref="A5" location="'1.4'!A1" display="1_4" xr:uid="{00000000-0004-0000-0000-000006000000}"/>
    <hyperlink ref="B5" location="'1.4'!A1" display="Deudores unicos y monto de la deuda en miles de pesos por tipo de situacion." xr:uid="{00000000-0004-0000-0000-000007000000}"/>
    <hyperlink ref="A6" location="'1.5'!A1" display="1_5" xr:uid="{00000000-0004-0000-0000-000008000000}"/>
    <hyperlink ref="B6" location="'1.5'!A1" display="Deudores unicos y monto de la deuda en miles de pesos por tipo de entidad en cada situacion crediticia" xr:uid="{00000000-0004-0000-0000-000009000000}"/>
    <hyperlink ref="A7" location="'1.6'!A1" display="1_6" xr:uid="{00000000-0004-0000-0000-00000A000000}"/>
    <hyperlink ref="B7" location="'1.6'!A1" display="Promedio de monto de la deuda en miles de pesos, por rango etario y sexo." xr:uid="{00000000-0004-0000-0000-00000B000000}"/>
    <hyperlink ref="A8" location="'1.7'!A1" display="1_7" xr:uid="{00000000-0004-0000-0000-00000C000000}"/>
    <hyperlink ref="B8" location="'1.7'!A1" display="Promedio del monto de la deuda en miles de pesos, por rango etario" xr:uid="{00000000-0004-0000-0000-00000D000000}"/>
    <hyperlink ref="A9" location="'1.8'!A1" display="1_8" xr:uid="{B63826FC-5038-4297-AD07-46E6AB67F170}"/>
    <hyperlink ref="B9" location="'1.8'!A1" display="Cantidad de deudores y monto de la deuda total y en mora por departamentos" xr:uid="{4EA78D98-842F-4AB9-9435-36A8BF4D27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1" sqref="B1"/>
    </sheetView>
  </sheetViews>
  <sheetFormatPr baseColWidth="10" defaultColWidth="12.5703125" defaultRowHeight="15.75" customHeight="1" x14ac:dyDescent="0.2"/>
  <cols>
    <col min="1" max="1" width="29" customWidth="1"/>
    <col min="2" max="2" width="14.42578125" customWidth="1"/>
    <col min="3" max="3" width="34.85546875" customWidth="1"/>
  </cols>
  <sheetData>
    <row r="1" spans="1:26" x14ac:dyDescent="0.2">
      <c r="A1" s="2" t="s">
        <v>3</v>
      </c>
      <c r="B1" s="2" t="s">
        <v>6</v>
      </c>
      <c r="C1" s="2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19</v>
      </c>
      <c r="B2" s="5">
        <v>291362</v>
      </c>
      <c r="C2" s="5">
        <v>1105160355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 t="s">
        <v>22</v>
      </c>
      <c r="B3" s="5">
        <v>69031</v>
      </c>
      <c r="C3" s="5">
        <v>166734253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" t="s">
        <v>24</v>
      </c>
      <c r="B4" s="10">
        <f t="shared" ref="B4:C4" si="0">B3/B2</f>
        <v>0.23692519957990404</v>
      </c>
      <c r="C4" s="10">
        <f t="shared" si="0"/>
        <v>0.15086883296677792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37</v>
      </c>
      <c r="B6" s="1"/>
      <c r="C6" s="1"/>
      <c r="D6" s="1"/>
      <c r="E6" s="1"/>
      <c r="F6" s="1"/>
      <c r="G6" s="1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3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3"/>
      <c r="C11" s="13"/>
      <c r="D11" s="1" t="s">
        <v>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"/>
  <sheetViews>
    <sheetView workbookViewId="0"/>
  </sheetViews>
  <sheetFormatPr baseColWidth="10" defaultColWidth="12.5703125" defaultRowHeight="15.75" customHeight="1" x14ac:dyDescent="0.2"/>
  <cols>
    <col min="1" max="1" width="34.7109375" customWidth="1"/>
    <col min="2" max="2" width="19.140625" customWidth="1"/>
    <col min="3" max="3" width="35.28515625" customWidth="1"/>
    <col min="4" max="4" width="21.42578125" customWidth="1"/>
    <col min="5" max="5" width="37.42578125" customWidth="1"/>
  </cols>
  <sheetData>
    <row r="1" spans="1:5" x14ac:dyDescent="0.2">
      <c r="A1" s="2" t="s">
        <v>2</v>
      </c>
      <c r="B1" s="2" t="s">
        <v>5</v>
      </c>
      <c r="C1" s="2" t="s">
        <v>8</v>
      </c>
      <c r="D1" s="2" t="s">
        <v>11</v>
      </c>
      <c r="E1" s="2" t="s">
        <v>13</v>
      </c>
    </row>
    <row r="2" spans="1:5" x14ac:dyDescent="0.2">
      <c r="A2" s="2" t="s">
        <v>15</v>
      </c>
      <c r="B2" s="6">
        <v>188887</v>
      </c>
      <c r="C2" s="4">
        <v>775364057</v>
      </c>
      <c r="D2" s="4">
        <v>18961</v>
      </c>
      <c r="E2" s="4">
        <v>81073933</v>
      </c>
    </row>
    <row r="3" spans="1:5" x14ac:dyDescent="0.2">
      <c r="A3" s="2" t="s">
        <v>27</v>
      </c>
      <c r="B3" s="6">
        <v>45473</v>
      </c>
      <c r="C3" s="4">
        <v>72198110</v>
      </c>
      <c r="D3" s="4">
        <v>6187</v>
      </c>
      <c r="E3" s="4">
        <v>8125658</v>
      </c>
    </row>
    <row r="4" spans="1:5" x14ac:dyDescent="0.2">
      <c r="A4" s="2" t="s">
        <v>28</v>
      </c>
      <c r="B4" s="4">
        <v>54052</v>
      </c>
      <c r="C4" s="4">
        <v>88393532</v>
      </c>
      <c r="D4" s="4">
        <v>26786</v>
      </c>
      <c r="E4" s="4">
        <v>34699157</v>
      </c>
    </row>
    <row r="5" spans="1:5" x14ac:dyDescent="0.2">
      <c r="A5" s="2" t="s">
        <v>30</v>
      </c>
      <c r="B5" s="4">
        <v>159615</v>
      </c>
      <c r="C5" s="4">
        <v>169204656</v>
      </c>
      <c r="D5" s="4">
        <v>39012</v>
      </c>
      <c r="E5" s="4">
        <v>42835505</v>
      </c>
    </row>
    <row r="7" spans="1:5" x14ac:dyDescent="0.2">
      <c r="C7" s="8"/>
      <c r="E7" s="8"/>
    </row>
    <row r="8" spans="1:5" x14ac:dyDescent="0.2">
      <c r="C8" s="8"/>
    </row>
    <row r="9" spans="1:5" x14ac:dyDescent="0.2">
      <c r="C9" s="9"/>
    </row>
    <row r="10" spans="1:5" x14ac:dyDescent="0.2">
      <c r="C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3"/>
  <sheetViews>
    <sheetView workbookViewId="0">
      <selection activeCell="C18" sqref="C18"/>
    </sheetView>
  </sheetViews>
  <sheetFormatPr baseColWidth="10" defaultColWidth="12.5703125" defaultRowHeight="15.75" customHeight="1" x14ac:dyDescent="0.2"/>
  <cols>
    <col min="1" max="1" width="19.7109375" customWidth="1"/>
    <col min="3" max="3" width="18.85546875" customWidth="1"/>
    <col min="4" max="4" width="30.5703125" customWidth="1"/>
    <col min="5" max="5" width="19" customWidth="1"/>
    <col min="6" max="6" width="33.5703125" customWidth="1"/>
  </cols>
  <sheetData>
    <row r="1" spans="1:6" x14ac:dyDescent="0.2">
      <c r="A1" s="2" t="s">
        <v>1</v>
      </c>
      <c r="B1" s="2" t="s">
        <v>4</v>
      </c>
      <c r="C1" s="2" t="s">
        <v>7</v>
      </c>
      <c r="D1" s="2" t="s">
        <v>9</v>
      </c>
      <c r="E1" s="2" t="s">
        <v>12</v>
      </c>
      <c r="F1" s="2" t="s">
        <v>14</v>
      </c>
    </row>
    <row r="2" spans="1:6" x14ac:dyDescent="0.2">
      <c r="A2" s="2" t="s">
        <v>16</v>
      </c>
      <c r="B2" s="3" t="s">
        <v>17</v>
      </c>
      <c r="C2" s="4">
        <v>9193</v>
      </c>
      <c r="D2" s="4">
        <v>6437891</v>
      </c>
      <c r="E2" s="4">
        <v>3013</v>
      </c>
      <c r="F2" s="4">
        <v>2083146</v>
      </c>
    </row>
    <row r="3" spans="1:6" x14ac:dyDescent="0.2">
      <c r="A3" s="2" t="s">
        <v>16</v>
      </c>
      <c r="B3" s="3" t="s">
        <v>20</v>
      </c>
      <c r="C3" s="4">
        <v>9604</v>
      </c>
      <c r="D3" s="4">
        <v>10472074</v>
      </c>
      <c r="E3" s="4">
        <v>3156</v>
      </c>
      <c r="F3" s="4">
        <v>3191124</v>
      </c>
    </row>
    <row r="4" spans="1:6" x14ac:dyDescent="0.2">
      <c r="A4" s="2" t="s">
        <v>21</v>
      </c>
      <c r="B4" s="3" t="s">
        <v>17</v>
      </c>
      <c r="C4" s="4">
        <v>32016</v>
      </c>
      <c r="D4" s="4">
        <v>63992192</v>
      </c>
      <c r="E4" s="4">
        <v>9332</v>
      </c>
      <c r="F4" s="4">
        <v>14505739</v>
      </c>
    </row>
    <row r="5" spans="1:6" x14ac:dyDescent="0.2">
      <c r="A5" s="2" t="s">
        <v>21</v>
      </c>
      <c r="B5" s="3" t="s">
        <v>20</v>
      </c>
      <c r="C5" s="4">
        <v>30977</v>
      </c>
      <c r="D5" s="4">
        <v>89779523</v>
      </c>
      <c r="E5" s="4">
        <v>10128</v>
      </c>
      <c r="F5" s="4">
        <v>22049262</v>
      </c>
    </row>
    <row r="6" spans="1:6" x14ac:dyDescent="0.2">
      <c r="A6" s="2" t="s">
        <v>23</v>
      </c>
      <c r="B6" s="3" t="s">
        <v>17</v>
      </c>
      <c r="C6" s="4">
        <v>33143</v>
      </c>
      <c r="D6" s="4">
        <v>123461225</v>
      </c>
      <c r="E6" s="4">
        <v>8302</v>
      </c>
      <c r="F6" s="4">
        <v>18917866</v>
      </c>
    </row>
    <row r="7" spans="1:6" x14ac:dyDescent="0.2">
      <c r="A7" s="2" t="s">
        <v>23</v>
      </c>
      <c r="B7" s="3" t="s">
        <v>20</v>
      </c>
      <c r="C7" s="4">
        <v>33445</v>
      </c>
      <c r="D7" s="4">
        <v>170919630</v>
      </c>
      <c r="E7" s="4">
        <v>9501</v>
      </c>
      <c r="F7" s="4">
        <v>32220012</v>
      </c>
    </row>
    <row r="8" spans="1:6" x14ac:dyDescent="0.2">
      <c r="A8" s="2" t="s">
        <v>25</v>
      </c>
      <c r="B8" s="3" t="s">
        <v>17</v>
      </c>
      <c r="C8" s="4">
        <v>29893</v>
      </c>
      <c r="D8" s="4">
        <v>130606334</v>
      </c>
      <c r="E8" s="4">
        <v>6147</v>
      </c>
      <c r="F8" s="4">
        <v>15204004</v>
      </c>
    </row>
    <row r="9" spans="1:6" x14ac:dyDescent="0.2">
      <c r="A9" s="2" t="s">
        <v>25</v>
      </c>
      <c r="B9" s="3" t="s">
        <v>20</v>
      </c>
      <c r="C9" s="4">
        <v>29366</v>
      </c>
      <c r="D9" s="4">
        <v>164186757</v>
      </c>
      <c r="E9" s="4">
        <v>6789</v>
      </c>
      <c r="F9" s="4">
        <v>21861963</v>
      </c>
    </row>
    <row r="10" spans="1:6" x14ac:dyDescent="0.2">
      <c r="A10" s="2" t="s">
        <v>29</v>
      </c>
      <c r="B10" s="3" t="s">
        <v>17</v>
      </c>
      <c r="C10" s="4">
        <v>21209</v>
      </c>
      <c r="D10" s="4">
        <v>89560247</v>
      </c>
      <c r="E10" s="4">
        <v>3596</v>
      </c>
      <c r="F10" s="4">
        <v>10049213</v>
      </c>
    </row>
    <row r="11" spans="1:6" x14ac:dyDescent="0.2">
      <c r="A11" s="2" t="s">
        <v>29</v>
      </c>
      <c r="B11" s="3" t="s">
        <v>20</v>
      </c>
      <c r="C11" s="4">
        <v>17686</v>
      </c>
      <c r="D11" s="4">
        <v>107391177</v>
      </c>
      <c r="E11" s="4">
        <v>3084</v>
      </c>
      <c r="F11" s="4">
        <v>11849314</v>
      </c>
    </row>
    <row r="12" spans="1:6" x14ac:dyDescent="0.2">
      <c r="A12" s="2" t="s">
        <v>32</v>
      </c>
      <c r="B12" s="3" t="s">
        <v>17</v>
      </c>
      <c r="C12" s="4">
        <v>24835</v>
      </c>
      <c r="D12" s="4">
        <v>72482391</v>
      </c>
      <c r="E12" s="4">
        <v>3383</v>
      </c>
      <c r="F12" s="4">
        <v>7924585</v>
      </c>
    </row>
    <row r="13" spans="1:6" x14ac:dyDescent="0.2">
      <c r="A13" s="2" t="s">
        <v>32</v>
      </c>
      <c r="B13" s="3" t="s">
        <v>20</v>
      </c>
      <c r="C13" s="4">
        <v>19473</v>
      </c>
      <c r="D13" s="4">
        <v>72372678</v>
      </c>
      <c r="E13" s="4">
        <v>2539</v>
      </c>
      <c r="F13" s="4">
        <v>6624192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>
      <selection activeCell="A10" sqref="A10"/>
    </sheetView>
  </sheetViews>
  <sheetFormatPr baseColWidth="10" defaultColWidth="12.5703125" defaultRowHeight="15.75" customHeight="1" x14ac:dyDescent="0.2"/>
  <cols>
    <col min="1" max="1" width="35.42578125" customWidth="1"/>
    <col min="2" max="2" width="14.42578125" customWidth="1"/>
  </cols>
  <sheetData>
    <row r="1" spans="1:3" x14ac:dyDescent="0.2">
      <c r="A1" s="2" t="s">
        <v>46</v>
      </c>
      <c r="B1" s="2" t="s">
        <v>6</v>
      </c>
      <c r="C1" s="2" t="s">
        <v>47</v>
      </c>
    </row>
    <row r="2" spans="1:3" x14ac:dyDescent="0.2">
      <c r="A2" s="2" t="s">
        <v>48</v>
      </c>
      <c r="B2" s="4">
        <v>244415</v>
      </c>
      <c r="C2" s="4">
        <v>894461352</v>
      </c>
    </row>
    <row r="3" spans="1:3" x14ac:dyDescent="0.2">
      <c r="A3" s="2" t="s">
        <v>49</v>
      </c>
      <c r="B3" s="4">
        <v>15678</v>
      </c>
      <c r="C3" s="4">
        <v>43759427</v>
      </c>
    </row>
    <row r="4" spans="1:3" x14ac:dyDescent="0.2">
      <c r="A4" s="2" t="s">
        <v>50</v>
      </c>
      <c r="B4" s="4">
        <v>16541</v>
      </c>
      <c r="C4" s="4">
        <v>40802213</v>
      </c>
    </row>
    <row r="5" spans="1:3" x14ac:dyDescent="0.2">
      <c r="A5" s="2" t="s">
        <v>51</v>
      </c>
      <c r="B5" s="4">
        <v>28014</v>
      </c>
      <c r="C5" s="4">
        <v>67271330</v>
      </c>
    </row>
    <row r="6" spans="1:3" x14ac:dyDescent="0.2">
      <c r="A6" s="2" t="s">
        <v>52</v>
      </c>
      <c r="B6" s="4">
        <v>39684</v>
      </c>
      <c r="C6" s="4">
        <v>58660710</v>
      </c>
    </row>
    <row r="7" spans="1:3" x14ac:dyDescent="0.2">
      <c r="A7" s="2" t="s">
        <v>53</v>
      </c>
      <c r="B7" s="4">
        <v>39</v>
      </c>
      <c r="C7" s="4">
        <v>205323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8"/>
  <sheetViews>
    <sheetView topLeftCell="A13" workbookViewId="0"/>
  </sheetViews>
  <sheetFormatPr baseColWidth="10" defaultColWidth="12.5703125" defaultRowHeight="15.75" customHeight="1" x14ac:dyDescent="0.2"/>
  <cols>
    <col min="1" max="1" width="32" customWidth="1"/>
    <col min="2" max="2" width="13.42578125" customWidth="1"/>
    <col min="3" max="3" width="29.140625" customWidth="1"/>
  </cols>
  <sheetData>
    <row r="1" spans="1:3" x14ac:dyDescent="0.2">
      <c r="A1" s="1" t="s">
        <v>54</v>
      </c>
      <c r="B1" s="1" t="s">
        <v>6</v>
      </c>
      <c r="C1" s="1" t="s">
        <v>55</v>
      </c>
    </row>
    <row r="2" spans="1:3" x14ac:dyDescent="0.2">
      <c r="A2" s="1"/>
      <c r="B2" s="1"/>
      <c r="C2" s="1"/>
    </row>
    <row r="3" spans="1:3" x14ac:dyDescent="0.2">
      <c r="A3" s="2" t="s">
        <v>56</v>
      </c>
      <c r="B3" s="4">
        <v>169659</v>
      </c>
      <c r="C3" s="4">
        <v>664015996</v>
      </c>
    </row>
    <row r="4" spans="1:3" x14ac:dyDescent="0.2">
      <c r="A4" s="2" t="s">
        <v>57</v>
      </c>
      <c r="B4" s="4">
        <v>37087</v>
      </c>
      <c r="C4" s="4">
        <v>59638923</v>
      </c>
    </row>
    <row r="5" spans="1:3" x14ac:dyDescent="0.2">
      <c r="A5" s="2" t="s">
        <v>58</v>
      </c>
      <c r="B5" s="4">
        <v>28671</v>
      </c>
      <c r="C5" s="4">
        <v>50627978</v>
      </c>
    </row>
    <row r="6" spans="1:3" x14ac:dyDescent="0.2">
      <c r="A6" s="2" t="s">
        <v>59</v>
      </c>
      <c r="B6" s="4">
        <v>120800</v>
      </c>
      <c r="C6" s="4">
        <v>120178455</v>
      </c>
    </row>
    <row r="7" spans="1:3" x14ac:dyDescent="0.2">
      <c r="A7" s="1"/>
      <c r="B7" s="1"/>
      <c r="C7" s="1"/>
    </row>
    <row r="8" spans="1:3" x14ac:dyDescent="0.2">
      <c r="A8" s="1" t="s">
        <v>60</v>
      </c>
      <c r="B8" s="1" t="s">
        <v>6</v>
      </c>
      <c r="C8" s="1" t="s">
        <v>55</v>
      </c>
    </row>
    <row r="9" spans="1:3" x14ac:dyDescent="0.2">
      <c r="A9" s="1"/>
      <c r="B9" s="1"/>
      <c r="C9" s="1"/>
    </row>
    <row r="10" spans="1:3" x14ac:dyDescent="0.2">
      <c r="A10" s="2" t="s">
        <v>56</v>
      </c>
      <c r="B10" s="4">
        <v>5780</v>
      </c>
      <c r="C10" s="4">
        <v>30068805</v>
      </c>
    </row>
    <row r="11" spans="1:3" x14ac:dyDescent="0.2">
      <c r="A11" s="2" t="s">
        <v>61</v>
      </c>
      <c r="B11" s="4">
        <v>2232</v>
      </c>
      <c r="C11" s="4">
        <v>4433529</v>
      </c>
    </row>
    <row r="12" spans="1:3" x14ac:dyDescent="0.2">
      <c r="A12" s="2" t="s">
        <v>58</v>
      </c>
      <c r="B12" s="4">
        <v>2969</v>
      </c>
      <c r="C12" s="4">
        <v>3066397</v>
      </c>
    </row>
    <row r="13" spans="1:3" x14ac:dyDescent="0.2">
      <c r="A13" s="2" t="s">
        <v>59</v>
      </c>
      <c r="B13" s="4">
        <v>6182</v>
      </c>
      <c r="C13" s="4">
        <v>6190696</v>
      </c>
    </row>
    <row r="14" spans="1:3" x14ac:dyDescent="0.2">
      <c r="A14" s="1"/>
      <c r="B14" s="1"/>
      <c r="C14" s="1"/>
    </row>
    <row r="15" spans="1:3" x14ac:dyDescent="0.2">
      <c r="A15" s="1" t="s">
        <v>62</v>
      </c>
      <c r="B15" s="1" t="s">
        <v>6</v>
      </c>
      <c r="C15" s="1" t="s">
        <v>55</v>
      </c>
    </row>
    <row r="16" spans="1:3" x14ac:dyDescent="0.2">
      <c r="A16" s="1"/>
      <c r="B16" s="1"/>
      <c r="C16" s="1"/>
    </row>
    <row r="17" spans="1:3" x14ac:dyDescent="0.2">
      <c r="A17" s="2" t="s">
        <v>56</v>
      </c>
      <c r="B17" s="4">
        <v>6396</v>
      </c>
      <c r="C17" s="4">
        <v>26211169</v>
      </c>
    </row>
    <row r="18" spans="1:3" x14ac:dyDescent="0.2">
      <c r="A18" s="2" t="s">
        <v>57</v>
      </c>
      <c r="B18" s="4">
        <v>2290</v>
      </c>
      <c r="C18" s="4">
        <v>3155638</v>
      </c>
    </row>
    <row r="19" spans="1:3" x14ac:dyDescent="0.2">
      <c r="A19" s="2" t="s">
        <v>58</v>
      </c>
      <c r="B19" s="4">
        <v>3641</v>
      </c>
      <c r="C19" s="4">
        <v>4704971</v>
      </c>
    </row>
    <row r="20" spans="1:3" x14ac:dyDescent="0.2">
      <c r="A20" s="2" t="s">
        <v>59</v>
      </c>
      <c r="B20" s="4">
        <v>6429</v>
      </c>
      <c r="C20" s="4">
        <v>6730435</v>
      </c>
    </row>
    <row r="21" spans="1:3" x14ac:dyDescent="0.2">
      <c r="A21" s="1"/>
      <c r="B21" s="1"/>
      <c r="C21" s="1"/>
    </row>
    <row r="22" spans="1:3" x14ac:dyDescent="0.2">
      <c r="A22" s="1" t="s">
        <v>63</v>
      </c>
      <c r="B22" s="1" t="s">
        <v>6</v>
      </c>
      <c r="C22" s="1" t="s">
        <v>55</v>
      </c>
    </row>
    <row r="23" spans="1:3" x14ac:dyDescent="0.2">
      <c r="A23" s="1"/>
      <c r="B23" s="1"/>
      <c r="C23" s="1"/>
    </row>
    <row r="24" spans="1:3" x14ac:dyDescent="0.2">
      <c r="A24" s="2" t="s">
        <v>56</v>
      </c>
      <c r="B24" s="4">
        <v>10660</v>
      </c>
      <c r="C24" s="4">
        <v>39862254</v>
      </c>
    </row>
    <row r="25" spans="1:3" x14ac:dyDescent="0.2">
      <c r="A25" s="2" t="s">
        <v>61</v>
      </c>
      <c r="B25" s="4">
        <v>3751</v>
      </c>
      <c r="C25" s="4">
        <v>4587190</v>
      </c>
    </row>
    <row r="26" spans="1:3" x14ac:dyDescent="0.2">
      <c r="A26" s="2" t="s">
        <v>58</v>
      </c>
      <c r="B26" s="4">
        <v>7411</v>
      </c>
      <c r="C26" s="4">
        <v>10966173</v>
      </c>
    </row>
    <row r="27" spans="1:3" x14ac:dyDescent="0.2">
      <c r="A27" s="2" t="s">
        <v>59</v>
      </c>
      <c r="B27" s="4">
        <v>12095</v>
      </c>
      <c r="C27" s="4">
        <v>11855713</v>
      </c>
    </row>
    <row r="28" spans="1:3" x14ac:dyDescent="0.2">
      <c r="A28" s="1"/>
      <c r="B28" s="1"/>
      <c r="C28" s="1"/>
    </row>
    <row r="29" spans="1:3" x14ac:dyDescent="0.2">
      <c r="A29" s="1" t="s">
        <v>64</v>
      </c>
      <c r="B29" s="1" t="s">
        <v>6</v>
      </c>
      <c r="C29" s="1" t="s">
        <v>55</v>
      </c>
    </row>
    <row r="30" spans="1:3" x14ac:dyDescent="0.2">
      <c r="A30" s="1"/>
      <c r="B30" s="1"/>
      <c r="C30" s="1"/>
    </row>
    <row r="31" spans="1:3" x14ac:dyDescent="0.2">
      <c r="A31" s="2" t="s">
        <v>56</v>
      </c>
      <c r="B31" s="4">
        <v>3643</v>
      </c>
      <c r="C31" s="4">
        <v>15000510</v>
      </c>
    </row>
    <row r="32" spans="1:3" x14ac:dyDescent="0.2">
      <c r="A32" s="2" t="s">
        <v>61</v>
      </c>
      <c r="B32" s="4">
        <v>151</v>
      </c>
      <c r="C32" s="4">
        <v>382830</v>
      </c>
    </row>
    <row r="33" spans="1:3" x14ac:dyDescent="0.2">
      <c r="A33" s="2" t="s">
        <v>58</v>
      </c>
      <c r="B33" s="4">
        <v>17665</v>
      </c>
      <c r="C33" s="4">
        <v>19028013</v>
      </c>
    </row>
    <row r="34" spans="1:3" x14ac:dyDescent="0.2">
      <c r="A34" s="2" t="s">
        <v>59</v>
      </c>
      <c r="B34" s="4">
        <v>23960</v>
      </c>
      <c r="C34" s="4">
        <v>24249357</v>
      </c>
    </row>
    <row r="35" spans="1:3" x14ac:dyDescent="0.2">
      <c r="A35" s="1"/>
      <c r="B35" s="1"/>
      <c r="C35" s="1"/>
    </row>
    <row r="36" spans="1:3" x14ac:dyDescent="0.2">
      <c r="A36" s="1" t="s">
        <v>65</v>
      </c>
      <c r="B36" s="1" t="s">
        <v>6</v>
      </c>
      <c r="C36" s="1" t="s">
        <v>55</v>
      </c>
    </row>
    <row r="37" spans="1:3" x14ac:dyDescent="0.2">
      <c r="A37" s="1"/>
      <c r="B37" s="1"/>
      <c r="C37" s="1"/>
    </row>
    <row r="38" spans="1:3" x14ac:dyDescent="0.2">
      <c r="A38" s="2" t="s">
        <v>56</v>
      </c>
      <c r="B38" s="4">
        <v>39</v>
      </c>
      <c r="C38" s="4">
        <v>205323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4"/>
  <sheetViews>
    <sheetView workbookViewId="0">
      <selection activeCell="D1" sqref="D1"/>
    </sheetView>
  </sheetViews>
  <sheetFormatPr baseColWidth="10" defaultColWidth="12.5703125" defaultRowHeight="15.75" customHeight="1" x14ac:dyDescent="0.2"/>
  <cols>
    <col min="3" max="3" width="40.5703125" customWidth="1"/>
    <col min="4" max="4" width="44" customWidth="1"/>
  </cols>
  <sheetData>
    <row r="1" spans="1:4" x14ac:dyDescent="0.2">
      <c r="A1" s="2" t="s">
        <v>66</v>
      </c>
      <c r="B1" s="2" t="s">
        <v>67</v>
      </c>
      <c r="C1" s="2" t="s">
        <v>68</v>
      </c>
      <c r="D1" s="2" t="s">
        <v>69</v>
      </c>
    </row>
    <row r="2" spans="1:4" x14ac:dyDescent="0.2">
      <c r="A2" s="15" t="s">
        <v>16</v>
      </c>
      <c r="B2" s="15" t="s">
        <v>17</v>
      </c>
      <c r="C2" s="16">
        <v>503.7079</v>
      </c>
      <c r="D2" s="16">
        <v>550.80539999999996</v>
      </c>
    </row>
    <row r="3" spans="1:4" x14ac:dyDescent="0.2">
      <c r="A3" s="15" t="s">
        <v>16</v>
      </c>
      <c r="B3" s="15" t="s">
        <v>20</v>
      </c>
      <c r="C3" s="16">
        <v>747.04480000000001</v>
      </c>
      <c r="D3" s="16">
        <v>764.89070000000004</v>
      </c>
    </row>
    <row r="4" spans="1:4" x14ac:dyDescent="0.2">
      <c r="A4" s="15" t="s">
        <v>21</v>
      </c>
      <c r="B4" s="15" t="s">
        <v>17</v>
      </c>
      <c r="C4" s="16">
        <v>1150.0286000000001</v>
      </c>
      <c r="D4" s="16">
        <v>1050.6076</v>
      </c>
    </row>
    <row r="5" spans="1:4" x14ac:dyDescent="0.2">
      <c r="A5" s="15" t="s">
        <v>21</v>
      </c>
      <c r="B5" s="15" t="s">
        <v>20</v>
      </c>
      <c r="C5" s="16">
        <v>1586.3788</v>
      </c>
      <c r="D5" s="16">
        <v>1376.7021999999999</v>
      </c>
    </row>
    <row r="6" spans="1:4" x14ac:dyDescent="0.2">
      <c r="A6" s="15" t="s">
        <v>23</v>
      </c>
      <c r="B6" s="15" t="s">
        <v>17</v>
      </c>
      <c r="C6" s="16">
        <v>1935.4929999999999</v>
      </c>
      <c r="D6" s="16">
        <v>1419.8338000000001</v>
      </c>
    </row>
    <row r="7" spans="1:4" x14ac:dyDescent="0.2">
      <c r="A7" s="15" t="s">
        <v>23</v>
      </c>
      <c r="B7" s="15" t="s">
        <v>20</v>
      </c>
      <c r="C7" s="16">
        <v>2583.0381000000002</v>
      </c>
      <c r="D7" s="16">
        <v>2015.0101</v>
      </c>
    </row>
    <row r="8" spans="1:4" x14ac:dyDescent="0.2">
      <c r="A8" s="15" t="s">
        <v>25</v>
      </c>
      <c r="B8" s="15" t="s">
        <v>17</v>
      </c>
      <c r="C8" s="16">
        <v>2174.308</v>
      </c>
      <c r="D8" s="16">
        <v>1484.7660000000001</v>
      </c>
    </row>
    <row r="9" spans="1:4" x14ac:dyDescent="0.2">
      <c r="A9" s="15" t="s">
        <v>25</v>
      </c>
      <c r="B9" s="15" t="s">
        <v>20</v>
      </c>
      <c r="C9" s="16">
        <v>2860.8449999999998</v>
      </c>
      <c r="D9" s="16">
        <v>1926.1641</v>
      </c>
    </row>
    <row r="10" spans="1:4" x14ac:dyDescent="0.2">
      <c r="A10" s="15" t="s">
        <v>29</v>
      </c>
      <c r="B10" s="15" t="s">
        <v>17</v>
      </c>
      <c r="C10" s="16">
        <v>2148.913</v>
      </c>
      <c r="D10" s="16">
        <v>1634.0183999999999</v>
      </c>
    </row>
    <row r="11" spans="1:4" x14ac:dyDescent="0.2">
      <c r="A11" s="15" t="s">
        <v>29</v>
      </c>
      <c r="B11" s="15" t="s">
        <v>20</v>
      </c>
      <c r="C11" s="16">
        <v>3173.6857</v>
      </c>
      <c r="D11" s="16">
        <v>2316.1286</v>
      </c>
    </row>
    <row r="12" spans="1:4" x14ac:dyDescent="0.2">
      <c r="A12" s="15" t="s">
        <v>32</v>
      </c>
      <c r="B12" s="15" t="s">
        <v>17</v>
      </c>
      <c r="C12" s="16">
        <v>1664.6546000000001</v>
      </c>
      <c r="D12" s="16">
        <v>1412.3302000000001</v>
      </c>
    </row>
    <row r="13" spans="1:4" x14ac:dyDescent="0.2">
      <c r="A13" s="15" t="s">
        <v>32</v>
      </c>
      <c r="B13" s="15" t="s">
        <v>20</v>
      </c>
      <c r="C13" s="16">
        <v>2272.9398999999999</v>
      </c>
      <c r="D13" s="16">
        <v>1616.4450999999999</v>
      </c>
    </row>
    <row r="14" spans="1:4" x14ac:dyDescent="0.2">
      <c r="D14" s="17"/>
    </row>
    <row r="15" spans="1:4" x14ac:dyDescent="0.2">
      <c r="D15" s="17"/>
    </row>
    <row r="18" spans="5:5" x14ac:dyDescent="0.2">
      <c r="E18" s="17"/>
    </row>
    <row r="19" spans="5:5" x14ac:dyDescent="0.2">
      <c r="E19" s="17"/>
    </row>
    <row r="20" spans="5:5" x14ac:dyDescent="0.2">
      <c r="E20" s="17"/>
    </row>
    <row r="21" spans="5:5" x14ac:dyDescent="0.2">
      <c r="E21" s="17"/>
    </row>
    <row r="22" spans="5:5" x14ac:dyDescent="0.2">
      <c r="E22" s="17"/>
    </row>
    <row r="23" spans="5:5" x14ac:dyDescent="0.2">
      <c r="E23" s="17"/>
    </row>
    <row r="24" spans="5:5" x14ac:dyDescent="0.2">
      <c r="E24" s="17"/>
    </row>
    <row r="25" spans="5:5" x14ac:dyDescent="0.2">
      <c r="E25" s="17"/>
    </row>
    <row r="26" spans="5:5" x14ac:dyDescent="0.2">
      <c r="E26" s="17"/>
    </row>
    <row r="27" spans="5:5" x14ac:dyDescent="0.2">
      <c r="E27" s="17"/>
    </row>
    <row r="28" spans="5:5" x14ac:dyDescent="0.2">
      <c r="E28" s="17"/>
    </row>
    <row r="29" spans="5:5" x14ac:dyDescent="0.2">
      <c r="E29" s="17"/>
    </row>
    <row r="30" spans="5:5" x14ac:dyDescent="0.2">
      <c r="E30" s="17"/>
    </row>
    <row r="31" spans="5:5" x14ac:dyDescent="0.2">
      <c r="E31" s="17"/>
    </row>
    <row r="32" spans="5:5" x14ac:dyDescent="0.2">
      <c r="E32" s="17"/>
    </row>
    <row r="33" spans="5:5" x14ac:dyDescent="0.2">
      <c r="E33" s="17"/>
    </row>
    <row r="34" spans="5:5" x14ac:dyDescent="0.2">
      <c r="E34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9"/>
  <sheetViews>
    <sheetView workbookViewId="0">
      <selection activeCell="C1" sqref="C1"/>
    </sheetView>
  </sheetViews>
  <sheetFormatPr baseColWidth="10" defaultColWidth="12.5703125" defaultRowHeight="15.75" customHeight="1" x14ac:dyDescent="0.2"/>
  <cols>
    <col min="1" max="1" width="13" customWidth="1"/>
    <col min="2" max="2" width="40.5703125" customWidth="1"/>
    <col min="3" max="3" width="44" customWidth="1"/>
  </cols>
  <sheetData>
    <row r="1" spans="1:4" x14ac:dyDescent="0.2">
      <c r="A1" s="2" t="s">
        <v>66</v>
      </c>
      <c r="B1" s="2" t="s">
        <v>68</v>
      </c>
      <c r="C1" s="2" t="s">
        <v>69</v>
      </c>
    </row>
    <row r="2" spans="1:4" x14ac:dyDescent="0.2">
      <c r="A2" s="15" t="s">
        <v>16</v>
      </c>
      <c r="B2" s="18">
        <v>630.9701</v>
      </c>
      <c r="C2" s="18">
        <v>663.09659999999997</v>
      </c>
    </row>
    <row r="3" spans="1:4" x14ac:dyDescent="0.2">
      <c r="A3" s="15" t="s">
        <v>21</v>
      </c>
      <c r="B3" s="18">
        <v>1370.0646999999999</v>
      </c>
      <c r="C3" s="18">
        <v>1225.7319</v>
      </c>
    </row>
    <row r="4" spans="1:4" x14ac:dyDescent="0.2">
      <c r="A4" s="15" t="s">
        <v>23</v>
      </c>
      <c r="B4" s="18">
        <v>2265.2613999999999</v>
      </c>
      <c r="C4" s="18">
        <v>1744.4865</v>
      </c>
    </row>
    <row r="5" spans="1:4" x14ac:dyDescent="0.2">
      <c r="A5" s="15" t="s">
        <v>25</v>
      </c>
      <c r="B5" s="18">
        <v>2509.7424999999998</v>
      </c>
      <c r="C5" s="18">
        <v>1716.8117999999999</v>
      </c>
    </row>
    <row r="6" spans="1:4" x14ac:dyDescent="0.2">
      <c r="A6" s="15" t="s">
        <v>29</v>
      </c>
      <c r="B6" s="18">
        <v>2608.11</v>
      </c>
      <c r="C6" s="18">
        <v>1943.7713000000001</v>
      </c>
    </row>
    <row r="7" spans="1:4" x14ac:dyDescent="0.2">
      <c r="A7" s="15" t="s">
        <v>32</v>
      </c>
      <c r="B7" s="18">
        <v>1921.588</v>
      </c>
      <c r="C7" s="18">
        <v>1498.4836</v>
      </c>
    </row>
    <row r="8" spans="1:4" x14ac:dyDescent="0.2">
      <c r="B8" s="17"/>
      <c r="C8" s="17"/>
    </row>
    <row r="11" spans="1:4" x14ac:dyDescent="0.2">
      <c r="C11" s="17"/>
    </row>
    <row r="12" spans="1:4" x14ac:dyDescent="0.2">
      <c r="C12" s="17"/>
    </row>
    <row r="13" spans="1:4" x14ac:dyDescent="0.2">
      <c r="C13" s="17"/>
      <c r="D13" s="17"/>
    </row>
    <row r="14" spans="1:4" x14ac:dyDescent="0.2">
      <c r="C14" s="17"/>
      <c r="D14" s="17"/>
    </row>
    <row r="15" spans="1:4" x14ac:dyDescent="0.2">
      <c r="C15" s="17"/>
      <c r="D15" s="17"/>
    </row>
    <row r="16" spans="1:4" x14ac:dyDescent="0.2">
      <c r="C16" s="17"/>
      <c r="D16" s="17"/>
    </row>
    <row r="17" spans="3:4" x14ac:dyDescent="0.2">
      <c r="C17" s="17"/>
      <c r="D17" s="17"/>
    </row>
    <row r="18" spans="3:4" x14ac:dyDescent="0.2">
      <c r="C18" s="17"/>
      <c r="D18" s="17"/>
    </row>
    <row r="19" spans="3:4" x14ac:dyDescent="0.2">
      <c r="C19" s="17"/>
      <c r="D19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42"/>
  <sheetViews>
    <sheetView tabSelected="1" workbookViewId="0"/>
  </sheetViews>
  <sheetFormatPr baseColWidth="10" defaultColWidth="12.5703125" defaultRowHeight="15.75" customHeight="1" x14ac:dyDescent="0.2"/>
  <cols>
    <col min="1" max="1" width="16.28515625" customWidth="1"/>
    <col min="2" max="2" width="24.140625" customWidth="1"/>
    <col min="3" max="3" width="26.5703125" customWidth="1"/>
    <col min="4" max="4" width="26.28515625" customWidth="1"/>
    <col min="5" max="5" width="31.42578125" customWidth="1"/>
  </cols>
  <sheetData>
    <row r="1" spans="1:24" ht="12.75" x14ac:dyDescent="0.2">
      <c r="A1" s="19" t="s">
        <v>70</v>
      </c>
      <c r="B1" s="20" t="s">
        <v>91</v>
      </c>
      <c r="C1" s="21" t="s">
        <v>89</v>
      </c>
      <c r="D1" s="20" t="s">
        <v>11</v>
      </c>
      <c r="E1" s="2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x14ac:dyDescent="0.2">
      <c r="A2" s="3" t="s">
        <v>71</v>
      </c>
      <c r="B2" s="18">
        <v>123160.012</v>
      </c>
      <c r="C2" s="18">
        <v>484999400</v>
      </c>
      <c r="D2" s="18">
        <v>27211</v>
      </c>
      <c r="E2" s="5">
        <v>69207023</v>
      </c>
    </row>
    <row r="3" spans="1:24" ht="12.75" x14ac:dyDescent="0.2">
      <c r="A3" s="3" t="s">
        <v>72</v>
      </c>
      <c r="B3" s="18">
        <v>35886.106590000003</v>
      </c>
      <c r="C3" s="18">
        <v>147150112</v>
      </c>
      <c r="D3" s="18">
        <v>8056</v>
      </c>
      <c r="E3" s="5">
        <v>20485312</v>
      </c>
    </row>
    <row r="4" spans="1:24" ht="12.75" x14ac:dyDescent="0.2">
      <c r="A4" s="3" t="s">
        <v>73</v>
      </c>
      <c r="B4" s="18">
        <v>35972.786679999997</v>
      </c>
      <c r="C4" s="18">
        <v>124069210</v>
      </c>
      <c r="D4" s="18">
        <v>10753</v>
      </c>
      <c r="E4" s="5">
        <v>22850670</v>
      </c>
    </row>
    <row r="5" spans="1:24" ht="12.75" x14ac:dyDescent="0.2">
      <c r="A5" s="3" t="s">
        <v>74</v>
      </c>
      <c r="B5" s="18">
        <v>29811.160759999999</v>
      </c>
      <c r="C5" s="18">
        <v>111406195</v>
      </c>
      <c r="D5" s="18">
        <v>8389</v>
      </c>
      <c r="E5" s="5">
        <v>19803704</v>
      </c>
    </row>
    <row r="6" spans="1:24" ht="12.75" x14ac:dyDescent="0.2">
      <c r="A6" s="3" t="s">
        <v>75</v>
      </c>
      <c r="B6" s="18">
        <v>30668</v>
      </c>
      <c r="C6" s="18">
        <v>103663017</v>
      </c>
      <c r="D6" s="18">
        <v>7395</v>
      </c>
      <c r="E6" s="5">
        <v>16774326</v>
      </c>
    </row>
    <row r="7" spans="1:24" ht="12.75" x14ac:dyDescent="0.2">
      <c r="A7" s="3" t="s">
        <v>76</v>
      </c>
      <c r="B7" s="18">
        <v>8524.0525560000005</v>
      </c>
      <c r="C7" s="18">
        <v>27022486</v>
      </c>
      <c r="D7" s="18">
        <v>2589</v>
      </c>
      <c r="E7" s="5">
        <v>5018868</v>
      </c>
    </row>
    <row r="8" spans="1:24" ht="12.75" x14ac:dyDescent="0.2">
      <c r="A8" s="3" t="s">
        <v>77</v>
      </c>
      <c r="B8" s="18">
        <v>5400.9878550000003</v>
      </c>
      <c r="C8" s="18">
        <v>18844040</v>
      </c>
      <c r="D8" s="18">
        <v>964</v>
      </c>
      <c r="E8" s="5">
        <v>1998838</v>
      </c>
    </row>
    <row r="9" spans="1:24" ht="12.75" x14ac:dyDescent="0.2">
      <c r="A9" s="3" t="s">
        <v>78</v>
      </c>
      <c r="B9" s="18">
        <v>4981.5296660000004</v>
      </c>
      <c r="C9" s="18">
        <v>17505939</v>
      </c>
      <c r="D9" s="18">
        <v>823</v>
      </c>
      <c r="E9" s="5">
        <v>1740229</v>
      </c>
    </row>
    <row r="10" spans="1:24" ht="12.75" x14ac:dyDescent="0.2">
      <c r="A10" s="3" t="s">
        <v>79</v>
      </c>
      <c r="B10" s="18">
        <v>5239.3079070000003</v>
      </c>
      <c r="C10" s="18">
        <v>25177182</v>
      </c>
      <c r="D10" s="18">
        <v>789</v>
      </c>
      <c r="E10" s="5">
        <v>3365318</v>
      </c>
    </row>
    <row r="11" spans="1:24" ht="12.75" x14ac:dyDescent="0.2">
      <c r="A11" s="3" t="s">
        <v>80</v>
      </c>
      <c r="B11" s="18">
        <v>4846.6545130000004</v>
      </c>
      <c r="C11" s="18">
        <v>19997129</v>
      </c>
      <c r="D11" s="18">
        <v>667</v>
      </c>
      <c r="E11" s="5">
        <v>1938810</v>
      </c>
    </row>
    <row r="12" spans="1:24" ht="12.75" x14ac:dyDescent="0.2">
      <c r="A12" s="3" t="s">
        <v>81</v>
      </c>
      <c r="B12" s="18">
        <v>2648</v>
      </c>
      <c r="C12" s="18">
        <v>9039705</v>
      </c>
      <c r="D12" s="18">
        <v>595</v>
      </c>
      <c r="E12" s="5">
        <v>1482085</v>
      </c>
    </row>
    <row r="13" spans="1:24" ht="12.75" x14ac:dyDescent="0.2">
      <c r="A13" s="3" t="s">
        <v>82</v>
      </c>
      <c r="B13" s="18">
        <v>1147.8814219999999</v>
      </c>
      <c r="C13" s="18">
        <v>3873288</v>
      </c>
      <c r="D13" s="18">
        <v>222</v>
      </c>
      <c r="E13" s="5">
        <v>516597</v>
      </c>
    </row>
    <row r="14" spans="1:24" ht="12.75" x14ac:dyDescent="0.2">
      <c r="A14" s="3" t="s">
        <v>83</v>
      </c>
      <c r="B14" s="18">
        <v>803.56427440000004</v>
      </c>
      <c r="C14" s="18">
        <v>2477384</v>
      </c>
      <c r="D14" s="18">
        <v>164</v>
      </c>
      <c r="E14" s="5">
        <v>294085</v>
      </c>
    </row>
    <row r="15" spans="1:24" ht="12.75" x14ac:dyDescent="0.2">
      <c r="A15" s="3" t="s">
        <v>84</v>
      </c>
      <c r="B15" s="18">
        <v>150.3152876</v>
      </c>
      <c r="C15" s="18">
        <v>1080641</v>
      </c>
      <c r="D15" s="18">
        <v>19</v>
      </c>
      <c r="E15" s="5">
        <v>68992</v>
      </c>
    </row>
    <row r="16" spans="1:24" ht="12.75" x14ac:dyDescent="0.2">
      <c r="A16" s="3" t="s">
        <v>85</v>
      </c>
      <c r="B16" s="18">
        <v>172.00546159999999</v>
      </c>
      <c r="C16" s="18">
        <v>546784</v>
      </c>
      <c r="D16" s="18">
        <v>20</v>
      </c>
      <c r="E16" s="5">
        <v>38789</v>
      </c>
    </row>
    <row r="17" spans="1:5" ht="12.75" x14ac:dyDescent="0.2">
      <c r="A17" s="3" t="s">
        <v>86</v>
      </c>
      <c r="B17" s="18">
        <v>556.63503619999994</v>
      </c>
      <c r="C17" s="18">
        <v>3610424</v>
      </c>
      <c r="D17" s="18">
        <v>96</v>
      </c>
      <c r="E17" s="5">
        <v>584983</v>
      </c>
    </row>
    <row r="18" spans="1:5" ht="12.75" x14ac:dyDescent="0.2">
      <c r="A18" s="3" t="s">
        <v>87</v>
      </c>
      <c r="B18" s="5">
        <v>291362</v>
      </c>
      <c r="C18" s="5">
        <v>1105160355</v>
      </c>
      <c r="D18" s="5">
        <v>69031</v>
      </c>
      <c r="E18" s="18">
        <v>166734253</v>
      </c>
    </row>
    <row r="20" spans="1:5" ht="12.75" x14ac:dyDescent="0.2">
      <c r="A20" s="22" t="s">
        <v>88</v>
      </c>
    </row>
    <row r="23" spans="1:5" ht="12.75" x14ac:dyDescent="0.2">
      <c r="A23" s="23"/>
      <c r="B23" s="24"/>
      <c r="C23" s="24"/>
      <c r="D23" s="27"/>
      <c r="E23" s="24"/>
    </row>
    <row r="24" spans="1:5" ht="12.75" x14ac:dyDescent="0.2">
      <c r="A24" s="1"/>
      <c r="B24" s="17"/>
      <c r="C24" s="25"/>
      <c r="D24" s="28"/>
      <c r="E24" s="26"/>
    </row>
    <row r="25" spans="1:5" ht="12.75" x14ac:dyDescent="0.2">
      <c r="A25" s="1"/>
      <c r="B25" s="17"/>
      <c r="C25" s="25"/>
      <c r="D25" s="29"/>
      <c r="E25" s="26"/>
    </row>
    <row r="26" spans="1:5" ht="12.75" x14ac:dyDescent="0.2">
      <c r="A26" s="1"/>
      <c r="B26" s="17"/>
      <c r="C26" s="25"/>
      <c r="D26" s="29"/>
      <c r="E26" s="26"/>
    </row>
    <row r="27" spans="1:5" ht="12.75" x14ac:dyDescent="0.2">
      <c r="A27" s="1"/>
      <c r="B27" s="17"/>
      <c r="C27" s="25"/>
      <c r="D27" s="29"/>
      <c r="E27" s="26"/>
    </row>
    <row r="28" spans="1:5" ht="12.75" x14ac:dyDescent="0.2">
      <c r="A28" s="1"/>
      <c r="B28" s="17"/>
      <c r="C28" s="25"/>
      <c r="D28" s="29"/>
      <c r="E28" s="26"/>
    </row>
    <row r="29" spans="1:5" ht="12.75" x14ac:dyDescent="0.2">
      <c r="A29" s="1"/>
      <c r="B29" s="17"/>
      <c r="C29" s="25"/>
      <c r="D29" s="29"/>
      <c r="E29" s="26"/>
    </row>
    <row r="30" spans="1:5" ht="12.75" x14ac:dyDescent="0.2">
      <c r="A30" s="1"/>
      <c r="B30" s="17"/>
      <c r="C30" s="25"/>
      <c r="D30" s="29"/>
      <c r="E30" s="26"/>
    </row>
    <row r="31" spans="1:5" ht="12.75" x14ac:dyDescent="0.2">
      <c r="A31" s="1"/>
      <c r="B31" s="17"/>
      <c r="C31" s="25"/>
      <c r="D31" s="29"/>
      <c r="E31" s="26"/>
    </row>
    <row r="32" spans="1:5" ht="12.75" x14ac:dyDescent="0.2">
      <c r="A32" s="1"/>
      <c r="B32" s="17"/>
      <c r="C32" s="25"/>
      <c r="D32" s="29"/>
      <c r="E32" s="26"/>
    </row>
    <row r="33" spans="1:5" ht="12.75" x14ac:dyDescent="0.2">
      <c r="A33" s="1"/>
      <c r="B33" s="17"/>
      <c r="C33" s="25"/>
      <c r="D33" s="29"/>
      <c r="E33" s="26"/>
    </row>
    <row r="34" spans="1:5" ht="12.75" x14ac:dyDescent="0.2">
      <c r="A34" s="1"/>
      <c r="B34" s="17"/>
      <c r="C34" s="25"/>
      <c r="D34" s="29"/>
      <c r="E34" s="26"/>
    </row>
    <row r="35" spans="1:5" ht="12.75" x14ac:dyDescent="0.2">
      <c r="A35" s="1"/>
      <c r="B35" s="17"/>
      <c r="C35" s="25"/>
      <c r="D35" s="29"/>
      <c r="E35" s="26"/>
    </row>
    <row r="36" spans="1:5" ht="12.75" x14ac:dyDescent="0.2">
      <c r="A36" s="1"/>
      <c r="B36" s="17"/>
      <c r="C36" s="25"/>
      <c r="D36" s="29"/>
      <c r="E36" s="26"/>
    </row>
    <row r="37" spans="1:5" ht="12.75" x14ac:dyDescent="0.2">
      <c r="A37" s="1"/>
      <c r="B37" s="17"/>
      <c r="C37" s="25"/>
      <c r="D37" s="29"/>
      <c r="E37" s="26"/>
    </row>
    <row r="38" spans="1:5" ht="12.75" x14ac:dyDescent="0.2">
      <c r="A38" s="1"/>
      <c r="B38" s="17"/>
      <c r="C38" s="25"/>
      <c r="D38" s="29"/>
      <c r="E38" s="26"/>
    </row>
    <row r="39" spans="1:5" ht="12.75" x14ac:dyDescent="0.2">
      <c r="A39" s="1"/>
      <c r="B39" s="17"/>
      <c r="C39" s="25"/>
      <c r="D39" s="29"/>
      <c r="E39" s="26"/>
    </row>
    <row r="40" spans="1:5" ht="12.75" x14ac:dyDescent="0.2">
      <c r="A40" s="1"/>
      <c r="D40" s="29"/>
    </row>
    <row r="41" spans="1:5" ht="15.75" customHeight="1" x14ac:dyDescent="0.2">
      <c r="D41" s="30"/>
    </row>
    <row r="42" spans="1:5" ht="15.75" customHeight="1" x14ac:dyDescent="0.2">
      <c r="D4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indice</vt:lpstr>
      <vt:lpstr>1.1</vt:lpstr>
      <vt:lpstr>1.2</vt:lpstr>
      <vt:lpstr>1.3</vt:lpstr>
      <vt:lpstr>1.4</vt:lpstr>
      <vt:lpstr>1.5</vt:lpstr>
      <vt:lpstr>1.6</vt:lpstr>
      <vt:lpstr>1.7</vt:lpstr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UsuarioCP</cp:lastModifiedBy>
  <dcterms:modified xsi:type="dcterms:W3CDTF">2026-10-28T14:09:21Z</dcterms:modified>
</cp:coreProperties>
</file>